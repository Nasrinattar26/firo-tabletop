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rvoir-info" sheetId="1" r:id="rId5"/>
    <sheet state="visible" name="data-2012" sheetId="2" r:id="rId6"/>
    <sheet state="visible" name="2012" sheetId="3" r:id="rId7"/>
    <sheet state="visible" name="2016" sheetId="4" r:id="rId8"/>
    <sheet state="visible" name="2017" sheetId="5" r:id="rId9"/>
  </sheets>
  <definedNames/>
  <calcPr/>
</workbook>
</file>

<file path=xl/sharedStrings.xml><?xml version="1.0" encoding="utf-8"?>
<sst xmlns="http://schemas.openxmlformats.org/spreadsheetml/2006/main" count="470" uniqueCount="58">
  <si>
    <t>Storage</t>
  </si>
  <si>
    <t>Conservation</t>
  </si>
  <si>
    <t>Flood</t>
  </si>
  <si>
    <t>FIRO-Max</t>
  </si>
  <si>
    <t>Climatlogical rainfall</t>
  </si>
  <si>
    <t>April</t>
  </si>
  <si>
    <t>May</t>
  </si>
  <si>
    <t>June</t>
  </si>
  <si>
    <t>July</t>
  </si>
  <si>
    <t>August</t>
  </si>
  <si>
    <t>September</t>
  </si>
  <si>
    <t>Very Dry</t>
  </si>
  <si>
    <t>Dry</t>
  </si>
  <si>
    <t>Normal</t>
  </si>
  <si>
    <t>Wet</t>
  </si>
  <si>
    <t>Very Wet</t>
  </si>
  <si>
    <t>Climatology of Inflow</t>
  </si>
  <si>
    <t>Rainfall-obs</t>
  </si>
  <si>
    <t>Lake level</t>
  </si>
  <si>
    <t>Withdrawal</t>
  </si>
  <si>
    <t>Evaporation</t>
  </si>
  <si>
    <t>Evaporation + Withdrawal</t>
  </si>
  <si>
    <t>Release  actual</t>
  </si>
  <si>
    <t>Loss-clim</t>
  </si>
  <si>
    <t>Forecast</t>
  </si>
  <si>
    <t>Inflow -clim</t>
  </si>
  <si>
    <t>Inflow-obs</t>
  </si>
  <si>
    <t>Equal Chance</t>
  </si>
  <si>
    <t>Below Normal</t>
  </si>
  <si>
    <t>Loss</t>
  </si>
  <si>
    <t>Max release</t>
  </si>
  <si>
    <t>No FIRO</t>
  </si>
  <si>
    <t>Month</t>
  </si>
  <si>
    <t>Initial level</t>
  </si>
  <si>
    <t>Climate Outlook</t>
  </si>
  <si>
    <t>Demand</t>
  </si>
  <si>
    <t>Release</t>
  </si>
  <si>
    <t>Peak Level</t>
  </si>
  <si>
    <t>Surcharge</t>
  </si>
  <si>
    <t>Inflow actual</t>
  </si>
  <si>
    <t>Final level projected</t>
  </si>
  <si>
    <t>Final level - Actual</t>
  </si>
  <si>
    <t>Inflow Forecast</t>
  </si>
  <si>
    <t>Deficit</t>
  </si>
  <si>
    <t>FIRO surplus</t>
  </si>
  <si>
    <t>Cumulative WS Storage</t>
  </si>
  <si>
    <t>Cumulative</t>
  </si>
  <si>
    <t>Points</t>
  </si>
  <si>
    <t>Total Points</t>
  </si>
  <si>
    <t>FIRO-Climate Outlook</t>
  </si>
  <si>
    <t>FIRO-Ensemble Streamflow Forecast</t>
  </si>
  <si>
    <t>ESP</t>
  </si>
  <si>
    <t>CIRO</t>
  </si>
  <si>
    <t>Outlook</t>
  </si>
  <si>
    <t xml:space="preserve"> </t>
  </si>
  <si>
    <t>Max Release</t>
  </si>
  <si>
    <t>Streamflow Outlook</t>
  </si>
  <si>
    <t>FIRO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</si>
</sst>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7.63"/>
  </cols>
  <sheetData>
    <row r="2">
      <c r="B2" s="1" t="s">
        <v>0</v>
      </c>
      <c r="C2" s="1" t="s">
        <v>1</v>
      </c>
      <c r="D2" s="1" t="s">
        <v>2</v>
      </c>
      <c r="E2" s="1" t="s">
        <v>3</v>
      </c>
    </row>
    <row r="3">
      <c r="B3" s="1">
        <f>C3+D3</f>
        <v>13</v>
      </c>
      <c r="C3" s="1">
        <v>5.0</v>
      </c>
      <c r="D3" s="1">
        <v>8.0</v>
      </c>
      <c r="E3" s="1">
        <v>6.0</v>
      </c>
    </row>
    <row r="5">
      <c r="B5" s="1" t="s">
        <v>4</v>
      </c>
    </row>
    <row r="6">
      <c r="A6" s="1" t="s">
        <v>5</v>
      </c>
      <c r="B6" s="1">
        <v>3.33</v>
      </c>
    </row>
    <row r="7">
      <c r="A7" s="1" t="s">
        <v>6</v>
      </c>
      <c r="B7" s="1">
        <v>4.7</v>
      </c>
    </row>
    <row r="8">
      <c r="A8" s="1" t="s">
        <v>7</v>
      </c>
      <c r="B8" s="1">
        <v>3.9</v>
      </c>
    </row>
    <row r="9">
      <c r="A9" s="1" t="s">
        <v>8</v>
      </c>
      <c r="B9" s="1">
        <v>2.0</v>
      </c>
    </row>
    <row r="10">
      <c r="A10" s="1" t="s">
        <v>9</v>
      </c>
      <c r="B10" s="1">
        <v>2.9</v>
      </c>
    </row>
    <row r="11">
      <c r="A11" s="1" t="s">
        <v>10</v>
      </c>
      <c r="B11" s="1">
        <v>3.4</v>
      </c>
    </row>
    <row r="13"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</row>
    <row r="14">
      <c r="A14" s="1" t="s">
        <v>16</v>
      </c>
      <c r="B14" s="2">
        <v>0.1</v>
      </c>
      <c r="C14" s="2">
        <v>0.25</v>
      </c>
      <c r="D14" s="2">
        <v>0.5</v>
      </c>
      <c r="E14" s="2">
        <v>0.75</v>
      </c>
      <c r="F14" s="2">
        <v>0.9</v>
      </c>
    </row>
    <row r="15">
      <c r="A15" s="1" t="s">
        <v>5</v>
      </c>
      <c r="B15" s="1">
        <v>0.0</v>
      </c>
      <c r="C15" s="1">
        <v>0.1</v>
      </c>
      <c r="D15" s="1">
        <v>0.5</v>
      </c>
      <c r="E15" s="1">
        <v>2.0</v>
      </c>
      <c r="F15" s="1">
        <v>4.0</v>
      </c>
    </row>
    <row r="16">
      <c r="A16" s="1" t="s">
        <v>6</v>
      </c>
      <c r="B16" s="1">
        <v>0.1</v>
      </c>
      <c r="C16" s="1">
        <v>0.3</v>
      </c>
      <c r="D16" s="1">
        <v>1.0</v>
      </c>
      <c r="E16" s="1">
        <v>3.0</v>
      </c>
      <c r="F16" s="1">
        <v>7.0</v>
      </c>
    </row>
    <row r="17">
      <c r="A17" s="1" t="s">
        <v>7</v>
      </c>
      <c r="B17" s="1">
        <v>0.0</v>
      </c>
      <c r="C17" s="1">
        <v>0.1</v>
      </c>
      <c r="D17" s="1">
        <v>0.5</v>
      </c>
      <c r="E17" s="1">
        <v>1.5</v>
      </c>
      <c r="F17" s="1">
        <v>5.0</v>
      </c>
    </row>
    <row r="18">
      <c r="A18" s="1" t="s">
        <v>8</v>
      </c>
      <c r="B18" s="1">
        <v>0.0</v>
      </c>
      <c r="C18" s="1">
        <v>0.0</v>
      </c>
      <c r="D18" s="1">
        <v>0.1</v>
      </c>
      <c r="E18" s="1">
        <v>0.3</v>
      </c>
      <c r="F18" s="1">
        <v>1.5</v>
      </c>
    </row>
    <row r="19">
      <c r="A19" s="1" t="s">
        <v>9</v>
      </c>
      <c r="B19" s="1">
        <v>0.0</v>
      </c>
      <c r="C19" s="1">
        <v>0.0</v>
      </c>
      <c r="D19" s="1">
        <v>0.0</v>
      </c>
      <c r="E19" s="1">
        <v>0.2</v>
      </c>
      <c r="F19" s="1">
        <v>1.5</v>
      </c>
    </row>
    <row r="20">
      <c r="A20" s="1" t="s">
        <v>10</v>
      </c>
      <c r="B20" s="1">
        <v>0.0</v>
      </c>
      <c r="C20" s="1">
        <v>0.1</v>
      </c>
      <c r="D20" s="1">
        <v>0.3</v>
      </c>
      <c r="E20" s="1">
        <v>1.0</v>
      </c>
      <c r="F20" s="1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4" max="6" width="18.0"/>
    <col customWidth="1" min="11" max="11" width="16.75"/>
    <col customWidth="1" min="12" max="12" width="17.38"/>
  </cols>
  <sheetData>
    <row r="1">
      <c r="A1" s="1">
        <v>2012.0</v>
      </c>
      <c r="B1" s="1" t="s">
        <v>4</v>
      </c>
      <c r="C1" s="1" t="s">
        <v>17</v>
      </c>
    </row>
    <row r="2">
      <c r="A2" s="1" t="s">
        <v>5</v>
      </c>
      <c r="B2" s="1">
        <v>3.33</v>
      </c>
      <c r="C2" s="1">
        <v>3.46</v>
      </c>
    </row>
    <row r="3">
      <c r="A3" s="1" t="s">
        <v>6</v>
      </c>
      <c r="B3" s="1">
        <v>4.7</v>
      </c>
      <c r="C3" s="1">
        <v>6.01</v>
      </c>
    </row>
    <row r="4">
      <c r="A4" s="1" t="s">
        <v>7</v>
      </c>
      <c r="B4" s="1">
        <v>3.9</v>
      </c>
      <c r="C4" s="1">
        <v>2.02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</row>
    <row r="5">
      <c r="A5" s="1" t="s">
        <v>8</v>
      </c>
      <c r="B5" s="1">
        <v>2.0</v>
      </c>
      <c r="C5" s="1">
        <v>1.94</v>
      </c>
      <c r="E5" s="1">
        <v>239.0</v>
      </c>
      <c r="F5" s="1">
        <v>230.0</v>
      </c>
      <c r="G5" s="1">
        <v>4000.0</v>
      </c>
      <c r="H5" s="3">
        <f t="shared" ref="H5:H10" si="1">F5+G5</f>
        <v>4230</v>
      </c>
      <c r="I5" s="1">
        <v>1270.0</v>
      </c>
      <c r="J5" s="1">
        <v>4030.0</v>
      </c>
      <c r="L5" s="1">
        <v>19600.0</v>
      </c>
      <c r="M5" s="1">
        <v>7500.0</v>
      </c>
    </row>
    <row r="6">
      <c r="A6" s="1" t="s">
        <v>9</v>
      </c>
      <c r="B6" s="1">
        <v>2.9</v>
      </c>
      <c r="C6" s="1">
        <v>3.14</v>
      </c>
      <c r="E6" s="1">
        <v>240.0</v>
      </c>
      <c r="F6" s="1">
        <v>250.0</v>
      </c>
      <c r="G6" s="1">
        <v>4000.0</v>
      </c>
      <c r="H6" s="3">
        <f t="shared" si="1"/>
        <v>4250</v>
      </c>
      <c r="I6" s="1">
        <v>2000.0</v>
      </c>
      <c r="J6" s="1">
        <v>4950.0</v>
      </c>
      <c r="K6" s="1" t="s">
        <v>27</v>
      </c>
      <c r="L6" s="1">
        <v>36600.0</v>
      </c>
      <c r="M6" s="1">
        <v>9100.0</v>
      </c>
    </row>
    <row r="7">
      <c r="A7" s="1" t="s">
        <v>10</v>
      </c>
      <c r="B7" s="1">
        <v>3.4</v>
      </c>
      <c r="C7" s="1">
        <v>3.4</v>
      </c>
      <c r="E7" s="1">
        <v>238.0</v>
      </c>
      <c r="F7" s="1">
        <v>300.0</v>
      </c>
      <c r="G7" s="1">
        <v>12000.0</v>
      </c>
      <c r="H7" s="3">
        <f t="shared" si="1"/>
        <v>12300</v>
      </c>
      <c r="I7" s="1">
        <v>8200.0</v>
      </c>
      <c r="J7" s="1">
        <v>8100.0</v>
      </c>
      <c r="K7" s="1" t="s">
        <v>28</v>
      </c>
      <c r="L7" s="1">
        <v>20500.0</v>
      </c>
      <c r="M7" s="1">
        <v>12000.0</v>
      </c>
    </row>
    <row r="8">
      <c r="E8" s="1">
        <v>234.0</v>
      </c>
      <c r="F8" s="1">
        <v>350.0</v>
      </c>
      <c r="G8" s="1">
        <v>13000.0</v>
      </c>
      <c r="H8" s="3">
        <f t="shared" si="1"/>
        <v>13350</v>
      </c>
      <c r="I8" s="1">
        <v>0.0</v>
      </c>
      <c r="J8" s="1">
        <v>9550.0</v>
      </c>
      <c r="K8" s="1" t="s">
        <v>27</v>
      </c>
      <c r="L8" s="1">
        <v>11700.0</v>
      </c>
      <c r="M8" s="1">
        <v>3115.0</v>
      </c>
    </row>
    <row r="9">
      <c r="E9" s="1">
        <v>233.0</v>
      </c>
      <c r="F9" s="1">
        <v>350.0</v>
      </c>
      <c r="G9" s="1">
        <v>12000.0</v>
      </c>
      <c r="H9" s="3">
        <f t="shared" si="1"/>
        <v>12350</v>
      </c>
      <c r="I9" s="1">
        <v>0.0</v>
      </c>
      <c r="J9" s="1">
        <v>8850.0</v>
      </c>
      <c r="K9" s="1" t="s">
        <v>28</v>
      </c>
      <c r="L9" s="1">
        <v>10700.0</v>
      </c>
      <c r="M9" s="1">
        <v>5750.0</v>
      </c>
    </row>
    <row r="10">
      <c r="E10" s="1">
        <v>232.0</v>
      </c>
      <c r="F10" s="1">
        <v>280.0</v>
      </c>
      <c r="G10" s="1">
        <v>10000.0</v>
      </c>
      <c r="H10" s="3">
        <f t="shared" si="1"/>
        <v>10280</v>
      </c>
      <c r="I10" s="1">
        <v>0.0</v>
      </c>
      <c r="J10" s="1">
        <v>7280.0</v>
      </c>
      <c r="K10" s="1" t="s">
        <v>27</v>
      </c>
      <c r="L10" s="1">
        <v>15500.0</v>
      </c>
      <c r="M10" s="1">
        <v>4250.0</v>
      </c>
    </row>
    <row r="13">
      <c r="B13" s="1" t="s">
        <v>4</v>
      </c>
      <c r="C13" s="1" t="s">
        <v>17</v>
      </c>
      <c r="E13" s="1" t="s">
        <v>18</v>
      </c>
      <c r="F13" s="1"/>
      <c r="G13" s="1"/>
      <c r="H13" s="1" t="s">
        <v>29</v>
      </c>
      <c r="J13" s="1" t="s">
        <v>23</v>
      </c>
      <c r="K13" s="1" t="s">
        <v>24</v>
      </c>
      <c r="L13" s="1" t="s">
        <v>25</v>
      </c>
      <c r="M13" s="1" t="s">
        <v>26</v>
      </c>
    </row>
    <row r="14">
      <c r="A14" s="1" t="s">
        <v>5</v>
      </c>
      <c r="B14" s="4">
        <v>3.33</v>
      </c>
      <c r="C14" s="4">
        <v>3.46</v>
      </c>
      <c r="E14" s="1">
        <f>0.5</f>
        <v>0.5</v>
      </c>
      <c r="F14" s="1"/>
      <c r="G14" s="1"/>
      <c r="H14" s="4">
        <f t="shared" ref="H14:H19" si="2">(H5)/11400</f>
        <v>0.3710526316</v>
      </c>
      <c r="J14" s="5">
        <f t="shared" ref="J14:J19" si="3">J5/11400</f>
        <v>0.3535087719</v>
      </c>
      <c r="L14" s="5">
        <f t="shared" ref="L14:L19" si="4">L5/11400</f>
        <v>1.719298246</v>
      </c>
      <c r="M14" s="1">
        <v>0.65</v>
      </c>
    </row>
    <row r="15">
      <c r="A15" s="1" t="s">
        <v>6</v>
      </c>
      <c r="B15" s="4">
        <v>4.7</v>
      </c>
      <c r="C15" s="4">
        <v>6.01</v>
      </c>
      <c r="E15" s="1">
        <f>1</f>
        <v>1</v>
      </c>
      <c r="F15" s="1"/>
      <c r="G15" s="1"/>
      <c r="H15" s="4">
        <f t="shared" si="2"/>
        <v>0.3728070175</v>
      </c>
      <c r="J15" s="5">
        <f t="shared" si="3"/>
        <v>0.4342105263</v>
      </c>
      <c r="K15" s="1" t="s">
        <v>27</v>
      </c>
      <c r="L15" s="5">
        <f t="shared" si="4"/>
        <v>3.210526316</v>
      </c>
      <c r="M15" s="6">
        <f t="shared" ref="M15:M19" si="5">M6/11400</f>
        <v>0.798245614</v>
      </c>
    </row>
    <row r="16">
      <c r="A16" s="1" t="s">
        <v>7</v>
      </c>
      <c r="B16" s="4">
        <v>3.9</v>
      </c>
      <c r="C16" s="4">
        <v>2.02</v>
      </c>
      <c r="E16" s="1">
        <v>0.0</v>
      </c>
      <c r="F16" s="1"/>
      <c r="G16" s="1"/>
      <c r="H16" s="4">
        <f t="shared" si="2"/>
        <v>1.078947368</v>
      </c>
      <c r="J16" s="5">
        <f t="shared" si="3"/>
        <v>0.7105263158</v>
      </c>
      <c r="K16" s="1" t="s">
        <v>28</v>
      </c>
      <c r="L16" s="5">
        <f t="shared" si="4"/>
        <v>1.798245614</v>
      </c>
      <c r="M16" s="6">
        <f t="shared" si="5"/>
        <v>1.052631579</v>
      </c>
    </row>
    <row r="17">
      <c r="A17" s="1" t="s">
        <v>8</v>
      </c>
      <c r="B17" s="4">
        <v>2.0</v>
      </c>
      <c r="C17" s="4">
        <v>1.94</v>
      </c>
      <c r="E17" s="1">
        <v>-2.0</v>
      </c>
      <c r="F17" s="1"/>
      <c r="G17" s="1"/>
      <c r="H17" s="4">
        <f t="shared" si="2"/>
        <v>1.171052632</v>
      </c>
      <c r="J17" s="5">
        <f t="shared" si="3"/>
        <v>0.8377192982</v>
      </c>
      <c r="K17" s="1" t="s">
        <v>27</v>
      </c>
      <c r="L17" s="5">
        <f t="shared" si="4"/>
        <v>1.026315789</v>
      </c>
      <c r="M17" s="6">
        <f t="shared" si="5"/>
        <v>0.273245614</v>
      </c>
    </row>
    <row r="18">
      <c r="A18" s="1" t="s">
        <v>9</v>
      </c>
      <c r="B18" s="4">
        <v>2.9</v>
      </c>
      <c r="C18" s="4">
        <v>3.14</v>
      </c>
      <c r="E18" s="1">
        <v>-2.5</v>
      </c>
      <c r="F18" s="1"/>
      <c r="G18" s="1"/>
      <c r="H18" s="4">
        <f t="shared" si="2"/>
        <v>1.083333333</v>
      </c>
      <c r="J18" s="5">
        <f t="shared" si="3"/>
        <v>0.7763157895</v>
      </c>
      <c r="K18" s="1" t="s">
        <v>28</v>
      </c>
      <c r="L18" s="5">
        <f t="shared" si="4"/>
        <v>0.9385964912</v>
      </c>
      <c r="M18" s="6">
        <f t="shared" si="5"/>
        <v>0.5043859649</v>
      </c>
    </row>
    <row r="19">
      <c r="A19" s="1" t="s">
        <v>10</v>
      </c>
      <c r="B19" s="4">
        <v>3.4</v>
      </c>
      <c r="C19" s="4">
        <v>3.4</v>
      </c>
      <c r="E19" s="1">
        <v>-3.0</v>
      </c>
      <c r="F19" s="1"/>
      <c r="G19" s="1"/>
      <c r="H19" s="4">
        <f t="shared" si="2"/>
        <v>0.901754386</v>
      </c>
      <c r="J19" s="5">
        <f t="shared" si="3"/>
        <v>0.6385964912</v>
      </c>
      <c r="K19" s="1" t="s">
        <v>27</v>
      </c>
      <c r="L19" s="5">
        <f t="shared" si="4"/>
        <v>1.359649123</v>
      </c>
      <c r="M19" s="6">
        <f t="shared" si="5"/>
        <v>0.3728070175</v>
      </c>
    </row>
    <row r="21">
      <c r="A21" s="1" t="s">
        <v>0</v>
      </c>
      <c r="B21" s="1" t="s">
        <v>1</v>
      </c>
      <c r="C21" s="1" t="s">
        <v>2</v>
      </c>
      <c r="D21" s="1" t="s">
        <v>3</v>
      </c>
      <c r="E21" s="1" t="s">
        <v>30</v>
      </c>
    </row>
    <row r="22">
      <c r="A22" s="1">
        <f>B22+C22</f>
        <v>13</v>
      </c>
      <c r="B22" s="1">
        <v>5.0</v>
      </c>
      <c r="C22" s="1">
        <v>8.0</v>
      </c>
      <c r="D22" s="1">
        <v>6.0</v>
      </c>
      <c r="E22" s="1">
        <v>8.0</v>
      </c>
    </row>
    <row r="25">
      <c r="B25" s="1" t="s">
        <v>31</v>
      </c>
    </row>
    <row r="26">
      <c r="B26" s="1" t="s">
        <v>32</v>
      </c>
      <c r="C26" s="1" t="s">
        <v>33</v>
      </c>
      <c r="D26" s="1" t="s">
        <v>34</v>
      </c>
      <c r="E26" s="1" t="s">
        <v>35</v>
      </c>
      <c r="F26" s="1" t="s">
        <v>20</v>
      </c>
      <c r="G26" s="1" t="s">
        <v>36</v>
      </c>
      <c r="H26" s="1" t="s">
        <v>37</v>
      </c>
      <c r="I26" s="1" t="s">
        <v>38</v>
      </c>
      <c r="J26" s="1" t="s">
        <v>39</v>
      </c>
      <c r="K26" s="1" t="s">
        <v>40</v>
      </c>
      <c r="L26" s="1" t="s">
        <v>41</v>
      </c>
      <c r="M26" s="1" t="s">
        <v>42</v>
      </c>
      <c r="O26" s="1" t="s">
        <v>43</v>
      </c>
      <c r="P26" s="1" t="s">
        <v>44</v>
      </c>
      <c r="Q26" s="1" t="s">
        <v>45</v>
      </c>
    </row>
    <row r="27">
      <c r="B27" s="1" t="s">
        <v>6</v>
      </c>
      <c r="C27" s="1">
        <v>6.0</v>
      </c>
      <c r="E27" s="1">
        <v>0.1</v>
      </c>
      <c r="F27" s="1">
        <v>0.1</v>
      </c>
      <c r="G27" s="1">
        <v>1.0</v>
      </c>
      <c r="I27" s="1">
        <v>0.0</v>
      </c>
      <c r="J27" s="1">
        <v>0.3</v>
      </c>
      <c r="L27" s="3">
        <f>C27+J27-E27-F27-G27-I27</f>
        <v>5.1</v>
      </c>
      <c r="M27" s="2">
        <v>0.9</v>
      </c>
      <c r="N27" s="1">
        <v>0.5</v>
      </c>
      <c r="O27" s="3">
        <f t="shared" ref="O27:O31" si="6">min(L27-$B$22,0)</f>
        <v>0</v>
      </c>
      <c r="P27" s="3">
        <f t="shared" ref="P27:P31" si="7">if(AND(L27&gt;=$B$22,L27&lt;=$D$22),L27-$B$22,0)</f>
        <v>0.1</v>
      </c>
      <c r="Q27" s="3">
        <f t="shared" ref="Q27:Q31" si="8">min(L27,$D$22)</f>
        <v>5.1</v>
      </c>
    </row>
    <row r="28">
      <c r="B28" s="1" t="s">
        <v>7</v>
      </c>
      <c r="C28" s="3">
        <f t="shared" ref="C28:C31" si="9">L27</f>
        <v>5.1</v>
      </c>
      <c r="E28" s="1">
        <v>0.2</v>
      </c>
      <c r="F28" s="1">
        <v>0.3</v>
      </c>
      <c r="G28" s="1">
        <v>0.0</v>
      </c>
      <c r="I28" s="1">
        <v>0.0</v>
      </c>
      <c r="J28" s="1">
        <v>0.2</v>
      </c>
      <c r="L28" s="3">
        <f t="shared" ref="L28:L31" si="10">C28-E28-F28-G28+J28</f>
        <v>4.8</v>
      </c>
      <c r="M28" s="2">
        <v>0.5</v>
      </c>
      <c r="N28" s="1">
        <v>1.0</v>
      </c>
      <c r="O28" s="3">
        <f t="shared" si="6"/>
        <v>-0.2</v>
      </c>
      <c r="P28" s="3">
        <f t="shared" si="7"/>
        <v>0</v>
      </c>
      <c r="Q28" s="3">
        <f t="shared" si="8"/>
        <v>4.8</v>
      </c>
    </row>
    <row r="29">
      <c r="B29" s="1" t="s">
        <v>8</v>
      </c>
      <c r="C29" s="3">
        <f t="shared" si="9"/>
        <v>4.8</v>
      </c>
      <c r="E29" s="1">
        <v>0.2</v>
      </c>
      <c r="F29" s="1">
        <v>0.4</v>
      </c>
      <c r="G29" s="1">
        <v>0.0</v>
      </c>
      <c r="I29" s="1">
        <v>0.0</v>
      </c>
      <c r="J29" s="1">
        <v>0.0</v>
      </c>
      <c r="L29" s="3">
        <f t="shared" si="10"/>
        <v>4.2</v>
      </c>
      <c r="M29" s="2">
        <v>0.25</v>
      </c>
      <c r="N29" s="1">
        <v>1.5</v>
      </c>
      <c r="O29" s="3">
        <f t="shared" si="6"/>
        <v>-0.8</v>
      </c>
      <c r="P29" s="3">
        <f t="shared" si="7"/>
        <v>0</v>
      </c>
      <c r="Q29" s="3">
        <f t="shared" si="8"/>
        <v>4.2</v>
      </c>
    </row>
    <row r="30">
      <c r="B30" s="1" t="s">
        <v>9</v>
      </c>
      <c r="C30" s="3">
        <f t="shared" si="9"/>
        <v>4.2</v>
      </c>
      <c r="E30" s="1">
        <v>0.2</v>
      </c>
      <c r="F30" s="1">
        <v>0.4</v>
      </c>
      <c r="G30" s="1">
        <v>0.0</v>
      </c>
      <c r="I30" s="1">
        <v>0.0</v>
      </c>
      <c r="J30" s="1">
        <v>0.0</v>
      </c>
      <c r="L30" s="3">
        <f t="shared" si="10"/>
        <v>3.6</v>
      </c>
      <c r="M30" s="2">
        <v>0.1</v>
      </c>
      <c r="N30" s="1">
        <v>2.0</v>
      </c>
      <c r="O30" s="3">
        <f t="shared" si="6"/>
        <v>-1.4</v>
      </c>
      <c r="P30" s="3">
        <f t="shared" si="7"/>
        <v>0</v>
      </c>
      <c r="Q30" s="3">
        <f t="shared" si="8"/>
        <v>3.6</v>
      </c>
    </row>
    <row r="31">
      <c r="B31" s="1" t="s">
        <v>10</v>
      </c>
      <c r="C31" s="3">
        <f t="shared" si="9"/>
        <v>3.6</v>
      </c>
      <c r="E31" s="1">
        <v>0.1</v>
      </c>
      <c r="F31" s="1">
        <v>0.3</v>
      </c>
      <c r="G31" s="1">
        <v>0.0</v>
      </c>
      <c r="I31" s="1">
        <v>0.0</v>
      </c>
      <c r="J31" s="1">
        <v>0.1</v>
      </c>
      <c r="L31" s="3">
        <f t="shared" si="10"/>
        <v>3.3</v>
      </c>
      <c r="M31" s="2">
        <v>0.5</v>
      </c>
      <c r="O31" s="3">
        <f t="shared" si="6"/>
        <v>-1.7</v>
      </c>
      <c r="P31" s="3">
        <f t="shared" si="7"/>
        <v>0</v>
      </c>
      <c r="Q31" s="3">
        <f t="shared" si="8"/>
        <v>3.3</v>
      </c>
    </row>
    <row r="32">
      <c r="H32" s="1" t="s">
        <v>46</v>
      </c>
      <c r="I32" s="3">
        <f>SUM(I28:I31)</f>
        <v>0</v>
      </c>
      <c r="O32" s="3">
        <f>SUM(O28:O31)</f>
        <v>-4.1</v>
      </c>
      <c r="P32" s="3">
        <f>sum(P28:P31)</f>
        <v>0</v>
      </c>
    </row>
    <row r="33">
      <c r="H33" s="1" t="s">
        <v>47</v>
      </c>
      <c r="I33" s="1">
        <f>if(I32&gt;0,0,50)</f>
        <v>50</v>
      </c>
      <c r="O33" s="1">
        <f>O32/20*50</f>
        <v>-10.25</v>
      </c>
      <c r="P33" s="1">
        <f>if(P32&gt;0,P32/(1*4)*50,0)</f>
        <v>0</v>
      </c>
      <c r="Q33" s="5">
        <f>sum(Q28:Q31)/24*50</f>
        <v>33.125</v>
      </c>
    </row>
    <row r="34">
      <c r="H34" s="1" t="s">
        <v>48</v>
      </c>
      <c r="I34" s="5">
        <f>I33+Q33+O33</f>
        <v>72.875</v>
      </c>
    </row>
    <row r="37">
      <c r="B37" s="1" t="s">
        <v>49</v>
      </c>
    </row>
    <row r="38">
      <c r="B38" s="1" t="s">
        <v>32</v>
      </c>
      <c r="C38" s="1" t="s">
        <v>33</v>
      </c>
      <c r="D38" s="1" t="s">
        <v>34</v>
      </c>
      <c r="E38" s="1" t="s">
        <v>35</v>
      </c>
      <c r="F38" s="1" t="s">
        <v>20</v>
      </c>
      <c r="G38" s="1" t="s">
        <v>36</v>
      </c>
      <c r="H38" s="1" t="s">
        <v>37</v>
      </c>
      <c r="I38" s="1" t="s">
        <v>38</v>
      </c>
      <c r="J38" s="1" t="s">
        <v>39</v>
      </c>
      <c r="K38" s="1" t="s">
        <v>40</v>
      </c>
      <c r="L38" s="1" t="s">
        <v>41</v>
      </c>
      <c r="M38" s="1" t="s">
        <v>42</v>
      </c>
      <c r="O38" s="1" t="s">
        <v>43</v>
      </c>
      <c r="P38" s="1" t="s">
        <v>44</v>
      </c>
      <c r="Q38" s="1" t="s">
        <v>45</v>
      </c>
    </row>
    <row r="39">
      <c r="B39" s="1" t="s">
        <v>6</v>
      </c>
      <c r="C39" s="1">
        <v>6.0</v>
      </c>
      <c r="D39" s="1" t="s">
        <v>13</v>
      </c>
      <c r="E39" s="1">
        <v>0.1</v>
      </c>
      <c r="F39" s="1">
        <v>0.1</v>
      </c>
      <c r="G39" s="1">
        <v>0.0</v>
      </c>
      <c r="I39" s="1">
        <v>0.0</v>
      </c>
      <c r="J39" s="1">
        <v>0.3</v>
      </c>
      <c r="L39" s="3">
        <f>C39+J39-E39-F39-G39-I39</f>
        <v>6.1</v>
      </c>
      <c r="M39" s="2">
        <v>0.9</v>
      </c>
      <c r="N39" s="1">
        <v>0.5</v>
      </c>
      <c r="O39" s="3">
        <f t="shared" ref="O39:O43" si="11">min(L39-$B$22,0)</f>
        <v>0</v>
      </c>
      <c r="P39" s="3">
        <f t="shared" ref="P39:P43" si="12">if(AND(L39&gt;=$B$22,L39&lt;=$D$22),L39-$B$22,0)</f>
        <v>0</v>
      </c>
      <c r="Q39" s="3">
        <f t="shared" ref="Q39:Q43" si="13">min(L39,$D$22)</f>
        <v>6</v>
      </c>
    </row>
    <row r="40">
      <c r="B40" s="1" t="s">
        <v>7</v>
      </c>
      <c r="C40" s="3">
        <f t="shared" ref="C40:C43" si="14">L39</f>
        <v>6.1</v>
      </c>
      <c r="D40" s="1" t="s">
        <v>28</v>
      </c>
      <c r="E40" s="1">
        <v>0.2</v>
      </c>
      <c r="F40" s="1">
        <v>0.3</v>
      </c>
      <c r="G40" s="1">
        <v>0.0</v>
      </c>
      <c r="I40" s="1">
        <v>0.0</v>
      </c>
      <c r="J40" s="1">
        <v>0.2</v>
      </c>
      <c r="L40" s="3">
        <f t="shared" ref="L40:L43" si="15">C40-E40-F40-G40+J40</f>
        <v>5.8</v>
      </c>
      <c r="M40" s="2">
        <v>0.5</v>
      </c>
      <c r="N40" s="1">
        <v>1.0</v>
      </c>
      <c r="O40" s="3">
        <f t="shared" si="11"/>
        <v>0</v>
      </c>
      <c r="P40" s="3">
        <f t="shared" si="12"/>
        <v>0.8</v>
      </c>
      <c r="Q40" s="3">
        <f t="shared" si="13"/>
        <v>5.8</v>
      </c>
    </row>
    <row r="41">
      <c r="B41" s="1" t="s">
        <v>8</v>
      </c>
      <c r="C41" s="3">
        <f t="shared" si="14"/>
        <v>5.8</v>
      </c>
      <c r="D41" s="1" t="s">
        <v>13</v>
      </c>
      <c r="E41" s="1">
        <v>0.2</v>
      </c>
      <c r="F41" s="1">
        <v>0.4</v>
      </c>
      <c r="G41" s="1">
        <v>0.0</v>
      </c>
      <c r="I41" s="1">
        <v>0.0</v>
      </c>
      <c r="J41" s="1">
        <v>0.0</v>
      </c>
      <c r="L41" s="3">
        <f t="shared" si="15"/>
        <v>5.2</v>
      </c>
      <c r="M41" s="2">
        <v>0.25</v>
      </c>
      <c r="N41" s="1">
        <v>1.5</v>
      </c>
      <c r="O41" s="3">
        <f t="shared" si="11"/>
        <v>0</v>
      </c>
      <c r="P41" s="3">
        <f t="shared" si="12"/>
        <v>0.2</v>
      </c>
      <c r="Q41" s="3">
        <f t="shared" si="13"/>
        <v>5.2</v>
      </c>
    </row>
    <row r="42">
      <c r="B42" s="1" t="s">
        <v>9</v>
      </c>
      <c r="C42" s="3">
        <f t="shared" si="14"/>
        <v>5.2</v>
      </c>
      <c r="D42" s="1" t="s">
        <v>28</v>
      </c>
      <c r="E42" s="1">
        <v>0.2</v>
      </c>
      <c r="F42" s="1">
        <v>0.4</v>
      </c>
      <c r="G42" s="1">
        <v>0.0</v>
      </c>
      <c r="I42" s="1">
        <v>0.0</v>
      </c>
      <c r="J42" s="1">
        <v>0.0</v>
      </c>
      <c r="L42" s="3">
        <f t="shared" si="15"/>
        <v>4.6</v>
      </c>
      <c r="M42" s="2">
        <v>0.1</v>
      </c>
      <c r="N42" s="1">
        <v>2.0</v>
      </c>
      <c r="O42" s="3">
        <f t="shared" si="11"/>
        <v>-0.4</v>
      </c>
      <c r="P42" s="3">
        <f t="shared" si="12"/>
        <v>0</v>
      </c>
      <c r="Q42" s="3">
        <f t="shared" si="13"/>
        <v>4.6</v>
      </c>
    </row>
    <row r="43">
      <c r="B43" s="1" t="s">
        <v>10</v>
      </c>
      <c r="C43" s="3">
        <f t="shared" si="14"/>
        <v>4.6</v>
      </c>
      <c r="D43" s="1" t="s">
        <v>13</v>
      </c>
      <c r="E43" s="1">
        <v>0.1</v>
      </c>
      <c r="F43" s="1">
        <v>0.3</v>
      </c>
      <c r="G43" s="1">
        <v>0.0</v>
      </c>
      <c r="I43" s="1">
        <v>0.0</v>
      </c>
      <c r="J43" s="1">
        <v>0.1</v>
      </c>
      <c r="L43" s="3">
        <f t="shared" si="15"/>
        <v>4.3</v>
      </c>
      <c r="M43" s="2">
        <v>0.5</v>
      </c>
      <c r="O43" s="3">
        <f t="shared" si="11"/>
        <v>-0.7</v>
      </c>
      <c r="P43" s="3">
        <f t="shared" si="12"/>
        <v>0</v>
      </c>
      <c r="Q43" s="3">
        <f t="shared" si="13"/>
        <v>4.3</v>
      </c>
    </row>
    <row r="44">
      <c r="H44" s="1" t="s">
        <v>46</v>
      </c>
      <c r="I44" s="3">
        <f>SUM(I40:I43)</f>
        <v>0</v>
      </c>
      <c r="O44" s="3">
        <f>SUM(O40:O43)</f>
        <v>-1.1</v>
      </c>
      <c r="P44" s="3">
        <f>sum(P40:P43)</f>
        <v>1</v>
      </c>
    </row>
    <row r="45">
      <c r="H45" s="1" t="s">
        <v>47</v>
      </c>
      <c r="I45" s="1">
        <f>if(I44&gt;0,0,50)</f>
        <v>50</v>
      </c>
      <c r="O45" s="1">
        <f>O44/20*50</f>
        <v>-2.75</v>
      </c>
      <c r="P45" s="1">
        <f>if(P44&gt;0,P44/(1*4)*50,0)</f>
        <v>12.5</v>
      </c>
      <c r="Q45" s="5">
        <f>sum(Q40:Q43)/24*50</f>
        <v>41.45833333</v>
      </c>
    </row>
    <row r="46">
      <c r="H46" s="1" t="s">
        <v>48</v>
      </c>
      <c r="I46" s="5">
        <f>I45+Q45+O45</f>
        <v>88.70833333</v>
      </c>
    </row>
    <row r="48">
      <c r="B48" s="1" t="s">
        <v>50</v>
      </c>
    </row>
    <row r="49">
      <c r="B49" s="1" t="s">
        <v>32</v>
      </c>
      <c r="C49" s="1" t="s">
        <v>33</v>
      </c>
      <c r="D49" s="1" t="s">
        <v>51</v>
      </c>
      <c r="E49" s="1" t="s">
        <v>35</v>
      </c>
      <c r="F49" s="1" t="s">
        <v>20</v>
      </c>
      <c r="G49" s="1" t="s">
        <v>36</v>
      </c>
      <c r="H49" s="1" t="s">
        <v>37</v>
      </c>
      <c r="I49" s="1" t="s">
        <v>38</v>
      </c>
      <c r="J49" s="1" t="s">
        <v>39</v>
      </c>
      <c r="K49" s="1" t="s">
        <v>40</v>
      </c>
      <c r="L49" s="1" t="s">
        <v>41</v>
      </c>
      <c r="M49" s="1" t="s">
        <v>42</v>
      </c>
      <c r="O49" s="1" t="s">
        <v>43</v>
      </c>
      <c r="P49" s="1" t="s">
        <v>44</v>
      </c>
      <c r="Q49" s="1" t="s">
        <v>45</v>
      </c>
    </row>
    <row r="50">
      <c r="B50" s="1" t="s">
        <v>6</v>
      </c>
      <c r="C50" s="1">
        <v>6.0</v>
      </c>
      <c r="D50" s="1" t="s">
        <v>13</v>
      </c>
      <c r="E50" s="1">
        <v>0.1</v>
      </c>
      <c r="F50" s="1">
        <v>0.1</v>
      </c>
      <c r="G50" s="1">
        <v>0.0</v>
      </c>
      <c r="I50" s="1">
        <v>0.0</v>
      </c>
      <c r="J50" s="1">
        <v>0.3</v>
      </c>
      <c r="L50" s="3">
        <f>C50+J50-E50-F50-G50-I50</f>
        <v>6.1</v>
      </c>
      <c r="M50" s="2">
        <v>0.9</v>
      </c>
      <c r="N50" s="1">
        <v>0.5</v>
      </c>
      <c r="O50" s="3">
        <f t="shared" ref="O50:O54" si="16">min(L50-$B$22,0)</f>
        <v>0</v>
      </c>
      <c r="P50" s="3">
        <f t="shared" ref="P50:P54" si="17">if(AND(L50&gt;=$B$22,L50&lt;=$D$22),L50-$B$22,0)</f>
        <v>0</v>
      </c>
      <c r="Q50" s="3">
        <f t="shared" ref="Q50:Q54" si="18">min(L50,$D$22)</f>
        <v>6</v>
      </c>
    </row>
    <row r="51">
      <c r="B51" s="1" t="s">
        <v>7</v>
      </c>
      <c r="C51" s="3">
        <f t="shared" ref="C51:C54" si="19">L50</f>
        <v>6.1</v>
      </c>
      <c r="D51" s="1" t="s">
        <v>12</v>
      </c>
      <c r="E51" s="1">
        <v>0.2</v>
      </c>
      <c r="F51" s="1">
        <v>0.3</v>
      </c>
      <c r="G51" s="1">
        <v>0.0</v>
      </c>
      <c r="I51" s="1">
        <v>0.0</v>
      </c>
      <c r="J51" s="1">
        <v>0.2</v>
      </c>
      <c r="L51" s="3">
        <f t="shared" ref="L51:L54" si="20">C51-E51-F51-G51+J51</f>
        <v>5.8</v>
      </c>
      <c r="M51" s="2">
        <v>0.5</v>
      </c>
      <c r="N51" s="1">
        <v>1.0</v>
      </c>
      <c r="O51" s="3">
        <f t="shared" si="16"/>
        <v>0</v>
      </c>
      <c r="P51" s="3">
        <f t="shared" si="17"/>
        <v>0.8</v>
      </c>
      <c r="Q51" s="3">
        <f t="shared" si="18"/>
        <v>5.8</v>
      </c>
    </row>
    <row r="52">
      <c r="B52" s="1" t="s">
        <v>8</v>
      </c>
      <c r="C52" s="3">
        <f t="shared" si="19"/>
        <v>5.8</v>
      </c>
      <c r="D52" s="1" t="s">
        <v>12</v>
      </c>
      <c r="E52" s="1">
        <v>0.2</v>
      </c>
      <c r="F52" s="1">
        <v>0.4</v>
      </c>
      <c r="G52" s="1">
        <v>0.0</v>
      </c>
      <c r="I52" s="1">
        <v>0.0</v>
      </c>
      <c r="J52" s="1">
        <v>0.0</v>
      </c>
      <c r="L52" s="3">
        <f t="shared" si="20"/>
        <v>5.2</v>
      </c>
      <c r="M52" s="2">
        <v>0.25</v>
      </c>
      <c r="N52" s="1">
        <v>1.5</v>
      </c>
      <c r="O52" s="3">
        <f t="shared" si="16"/>
        <v>0</v>
      </c>
      <c r="P52" s="3">
        <f t="shared" si="17"/>
        <v>0.2</v>
      </c>
      <c r="Q52" s="3">
        <f t="shared" si="18"/>
        <v>5.2</v>
      </c>
    </row>
    <row r="53">
      <c r="B53" s="1" t="s">
        <v>9</v>
      </c>
      <c r="C53" s="3">
        <f t="shared" si="19"/>
        <v>5.2</v>
      </c>
      <c r="D53" s="1" t="s">
        <v>12</v>
      </c>
      <c r="E53" s="1">
        <v>0.2</v>
      </c>
      <c r="F53" s="1">
        <v>0.4</v>
      </c>
      <c r="G53" s="1">
        <v>0.0</v>
      </c>
      <c r="I53" s="1">
        <v>0.0</v>
      </c>
      <c r="J53" s="1">
        <v>0.0</v>
      </c>
      <c r="L53" s="3">
        <f t="shared" si="20"/>
        <v>4.6</v>
      </c>
      <c r="M53" s="2">
        <v>0.1</v>
      </c>
      <c r="N53" s="1">
        <v>2.0</v>
      </c>
      <c r="O53" s="3">
        <f t="shared" si="16"/>
        <v>-0.4</v>
      </c>
      <c r="P53" s="3">
        <f t="shared" si="17"/>
        <v>0</v>
      </c>
      <c r="Q53" s="3">
        <f t="shared" si="18"/>
        <v>4.6</v>
      </c>
    </row>
    <row r="54">
      <c r="B54" s="1" t="s">
        <v>10</v>
      </c>
      <c r="C54" s="3">
        <f t="shared" si="19"/>
        <v>4.6</v>
      </c>
      <c r="D54" s="1" t="s">
        <v>13</v>
      </c>
      <c r="E54" s="1">
        <v>0.1</v>
      </c>
      <c r="F54" s="1">
        <v>0.3</v>
      </c>
      <c r="G54" s="1">
        <v>0.0</v>
      </c>
      <c r="I54" s="1">
        <v>0.0</v>
      </c>
      <c r="J54" s="1">
        <v>0.1</v>
      </c>
      <c r="L54" s="3">
        <f t="shared" si="20"/>
        <v>4.3</v>
      </c>
      <c r="M54" s="2">
        <v>0.5</v>
      </c>
      <c r="O54" s="3">
        <f t="shared" si="16"/>
        <v>-0.7</v>
      </c>
      <c r="P54" s="3">
        <f t="shared" si="17"/>
        <v>0</v>
      </c>
      <c r="Q54" s="3">
        <f t="shared" si="18"/>
        <v>4.3</v>
      </c>
    </row>
    <row r="55">
      <c r="H55" s="1" t="s">
        <v>46</v>
      </c>
      <c r="I55" s="3">
        <f>SUM(I51:I54)</f>
        <v>0</v>
      </c>
      <c r="O55" s="3">
        <f>SUM(O51:O54)</f>
        <v>-1.1</v>
      </c>
      <c r="P55" s="3">
        <f>sum(P51:P54)</f>
        <v>1</v>
      </c>
    </row>
    <row r="56">
      <c r="H56" s="1" t="s">
        <v>47</v>
      </c>
      <c r="I56" s="1">
        <f>if(I55&gt;0,0,50)</f>
        <v>50</v>
      </c>
      <c r="O56" s="1">
        <f>O55/20*50</f>
        <v>-2.75</v>
      </c>
      <c r="P56" s="1">
        <f>if(P55&gt;0,P55/(1*4)*50,0)</f>
        <v>12.5</v>
      </c>
      <c r="Q56" s="5">
        <f>sum(Q51:Q54)/24*50</f>
        <v>41.45833333</v>
      </c>
    </row>
    <row r="57">
      <c r="H57" s="1" t="s">
        <v>48</v>
      </c>
      <c r="I57" s="5">
        <f>I56+Q56+O56</f>
        <v>88.70833333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31</v>
      </c>
    </row>
    <row r="3">
      <c r="B3" s="1" t="s">
        <v>32</v>
      </c>
      <c r="C3" s="1" t="s">
        <v>33</v>
      </c>
      <c r="D3" s="1" t="s">
        <v>34</v>
      </c>
      <c r="E3" s="1" t="s">
        <v>35</v>
      </c>
      <c r="F3" s="1" t="s">
        <v>20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43</v>
      </c>
      <c r="N3" s="1" t="s">
        <v>44</v>
      </c>
      <c r="O3" s="1" t="s">
        <v>45</v>
      </c>
    </row>
    <row r="4">
      <c r="B4" s="1" t="s">
        <v>6</v>
      </c>
      <c r="C4" s="1">
        <v>6.0</v>
      </c>
      <c r="E4" s="1">
        <v>0.1</v>
      </c>
      <c r="F4" s="1">
        <v>0.1</v>
      </c>
      <c r="G4" s="1">
        <v>1.0</v>
      </c>
      <c r="I4" s="1">
        <f t="shared" ref="I4:I8" si="1">max(L4-13,0)</f>
        <v>0</v>
      </c>
      <c r="J4" s="1">
        <v>0.3</v>
      </c>
      <c r="L4" s="3">
        <f>C4+J4-E4-F4-G4-I4</f>
        <v>5.1</v>
      </c>
      <c r="M4" s="3">
        <f t="shared" ref="M4:M8" si="2">min(L4-$B$22,0)</f>
        <v>0</v>
      </c>
      <c r="N4" s="3">
        <f t="shared" ref="N4:N8" si="3">if(AND(L4&gt;=$B$22,L4&lt;=$D$22),L4-$B$22,0)</f>
        <v>0</v>
      </c>
      <c r="O4" s="3">
        <f t="shared" ref="O4:O8" si="4">min(L4,$D$22)</f>
        <v>5.1</v>
      </c>
    </row>
    <row r="5">
      <c r="B5" s="1" t="s">
        <v>7</v>
      </c>
      <c r="C5" s="3">
        <f t="shared" ref="C5:C8" si="5">L4</f>
        <v>5.1</v>
      </c>
      <c r="E5" s="1">
        <v>0.2</v>
      </c>
      <c r="F5" s="1">
        <v>0.3</v>
      </c>
      <c r="G5" s="1">
        <v>0.0</v>
      </c>
      <c r="I5" s="1">
        <f t="shared" si="1"/>
        <v>0</v>
      </c>
      <c r="J5" s="1">
        <v>0.2</v>
      </c>
      <c r="L5" s="3">
        <f t="shared" ref="L5:L8" si="6">C5-E5-F5-G5+J5</f>
        <v>4.8</v>
      </c>
      <c r="M5" s="3">
        <f t="shared" si="2"/>
        <v>0</v>
      </c>
      <c r="N5" s="3">
        <f t="shared" si="3"/>
        <v>0</v>
      </c>
      <c r="O5" s="3">
        <f t="shared" si="4"/>
        <v>4.8</v>
      </c>
    </row>
    <row r="6">
      <c r="B6" s="1" t="s">
        <v>8</v>
      </c>
      <c r="C6" s="3">
        <f t="shared" si="5"/>
        <v>4.8</v>
      </c>
      <c r="E6" s="1">
        <v>0.2</v>
      </c>
      <c r="F6" s="1">
        <v>0.4</v>
      </c>
      <c r="G6" s="1">
        <v>0.0</v>
      </c>
      <c r="I6" s="1">
        <f t="shared" si="1"/>
        <v>0</v>
      </c>
      <c r="J6" s="1">
        <v>0.0</v>
      </c>
      <c r="L6" s="3">
        <f t="shared" si="6"/>
        <v>4.2</v>
      </c>
      <c r="M6" s="3">
        <f t="shared" si="2"/>
        <v>0</v>
      </c>
      <c r="N6" s="3">
        <f t="shared" si="3"/>
        <v>0</v>
      </c>
      <c r="O6" s="3">
        <f t="shared" si="4"/>
        <v>4.2</v>
      </c>
    </row>
    <row r="7">
      <c r="B7" s="1" t="s">
        <v>9</v>
      </c>
      <c r="C7" s="3">
        <f t="shared" si="5"/>
        <v>4.2</v>
      </c>
      <c r="E7" s="1">
        <v>0.2</v>
      </c>
      <c r="F7" s="1">
        <v>0.4</v>
      </c>
      <c r="G7" s="1">
        <v>0.0</v>
      </c>
      <c r="I7" s="1">
        <f t="shared" si="1"/>
        <v>0</v>
      </c>
      <c r="J7" s="1">
        <v>0.0</v>
      </c>
      <c r="L7" s="3">
        <f t="shared" si="6"/>
        <v>3.6</v>
      </c>
      <c r="M7" s="3">
        <f t="shared" si="2"/>
        <v>0</v>
      </c>
      <c r="N7" s="3">
        <f t="shared" si="3"/>
        <v>0</v>
      </c>
      <c r="O7" s="3">
        <f t="shared" si="4"/>
        <v>3.6</v>
      </c>
    </row>
    <row r="8">
      <c r="B8" s="1" t="s">
        <v>10</v>
      </c>
      <c r="C8" s="3">
        <f t="shared" si="5"/>
        <v>3.6</v>
      </c>
      <c r="E8" s="1">
        <v>0.1</v>
      </c>
      <c r="F8" s="1">
        <v>0.3</v>
      </c>
      <c r="G8" s="1">
        <v>0.0</v>
      </c>
      <c r="I8" s="1">
        <f t="shared" si="1"/>
        <v>0</v>
      </c>
      <c r="J8" s="1">
        <v>0.1</v>
      </c>
      <c r="L8" s="3">
        <f t="shared" si="6"/>
        <v>3.3</v>
      </c>
      <c r="M8" s="3">
        <f t="shared" si="2"/>
        <v>0</v>
      </c>
      <c r="N8" s="3">
        <f t="shared" si="3"/>
        <v>0</v>
      </c>
      <c r="O8" s="3">
        <f t="shared" si="4"/>
        <v>3.3</v>
      </c>
    </row>
    <row r="9">
      <c r="H9" s="1" t="s">
        <v>46</v>
      </c>
      <c r="I9" s="3">
        <f>SUM(I5:I8)</f>
        <v>0</v>
      </c>
      <c r="M9" s="3">
        <f>SUM(M5:M8)</f>
        <v>0</v>
      </c>
      <c r="N9" s="3">
        <f>sum(N5:N8)</f>
        <v>0</v>
      </c>
    </row>
    <row r="10">
      <c r="H10" s="1" t="s">
        <v>47</v>
      </c>
      <c r="I10" s="1">
        <f>if(I9&gt;0,0,50)</f>
        <v>50</v>
      </c>
      <c r="M10" s="1">
        <f>M9/20*50</f>
        <v>0</v>
      </c>
      <c r="N10" s="1">
        <f>if(N9&gt;0,N9/(1*4)*50,0)</f>
        <v>0</v>
      </c>
      <c r="O10" s="5">
        <f>sum(O5:O8)/24*50</f>
        <v>33.125</v>
      </c>
    </row>
    <row r="11">
      <c r="H11" s="1" t="s">
        <v>48</v>
      </c>
      <c r="I11" s="5">
        <f>I10+O10+M10</f>
        <v>83.125</v>
      </c>
    </row>
    <row r="14">
      <c r="B14" s="1" t="s">
        <v>52</v>
      </c>
    </row>
    <row r="15">
      <c r="B15" s="1" t="s">
        <v>32</v>
      </c>
      <c r="C15" s="1" t="s">
        <v>33</v>
      </c>
      <c r="D15" s="1" t="s">
        <v>53</v>
      </c>
      <c r="E15" s="1" t="s">
        <v>35</v>
      </c>
      <c r="F15" s="1" t="s">
        <v>20</v>
      </c>
      <c r="G15" s="1" t="s">
        <v>36</v>
      </c>
      <c r="H15" s="1" t="s">
        <v>37</v>
      </c>
      <c r="I15" s="1" t="s">
        <v>38</v>
      </c>
      <c r="J15" s="1" t="s">
        <v>39</v>
      </c>
      <c r="K15" s="1" t="s">
        <v>40</v>
      </c>
      <c r="L15" s="1" t="s">
        <v>41</v>
      </c>
      <c r="M15" s="1" t="s">
        <v>43</v>
      </c>
      <c r="N15" s="1" t="s">
        <v>44</v>
      </c>
      <c r="O15" s="1" t="s">
        <v>45</v>
      </c>
    </row>
    <row r="16">
      <c r="B16" s="1" t="s">
        <v>6</v>
      </c>
      <c r="C16" s="1">
        <v>6.0</v>
      </c>
      <c r="D16" s="1" t="s">
        <v>54</v>
      </c>
      <c r="E16" s="1">
        <v>0.1</v>
      </c>
      <c r="F16" s="1">
        <v>0.1</v>
      </c>
      <c r="G16" s="1">
        <v>0.0</v>
      </c>
      <c r="I16" s="1">
        <f t="shared" ref="I16:I20" si="7">max(L16-13,0)</f>
        <v>0</v>
      </c>
      <c r="J16" s="1">
        <v>0.3</v>
      </c>
      <c r="L16" s="3">
        <f>C16+J16-E16-F16-G16-I16</f>
        <v>6.1</v>
      </c>
      <c r="M16" s="3">
        <f t="shared" ref="M16:M20" si="8">min(L16-$B$22,0)</f>
        <v>0</v>
      </c>
      <c r="N16" s="3">
        <f t="shared" ref="N16:N20" si="9">if(AND(L16&gt;=$B$22,L16&lt;=$D$22),L16-$B$22,0)</f>
        <v>0</v>
      </c>
      <c r="O16" s="3">
        <f t="shared" ref="O16:O20" si="10">min(L16,$D$22)</f>
        <v>6.1</v>
      </c>
    </row>
    <row r="17">
      <c r="B17" s="1" t="s">
        <v>7</v>
      </c>
      <c r="C17" s="3">
        <f t="shared" ref="C17:C20" si="11">L16</f>
        <v>6.1</v>
      </c>
      <c r="D17" s="1" t="s">
        <v>54</v>
      </c>
      <c r="E17" s="1">
        <v>0.2</v>
      </c>
      <c r="F17" s="1">
        <v>0.3</v>
      </c>
      <c r="G17" s="1">
        <v>0.0</v>
      </c>
      <c r="I17" s="1">
        <f t="shared" si="7"/>
        <v>0</v>
      </c>
      <c r="J17" s="1">
        <v>0.2</v>
      </c>
      <c r="L17" s="3">
        <f t="shared" ref="L17:L20" si="12">C17-E17-F17-G17+J17</f>
        <v>5.8</v>
      </c>
      <c r="M17" s="3">
        <f t="shared" si="8"/>
        <v>0</v>
      </c>
      <c r="N17" s="3">
        <f t="shared" si="9"/>
        <v>0</v>
      </c>
      <c r="O17" s="3">
        <f t="shared" si="10"/>
        <v>5.8</v>
      </c>
    </row>
    <row r="18">
      <c r="B18" s="1" t="s">
        <v>8</v>
      </c>
      <c r="C18" s="3">
        <f t="shared" si="11"/>
        <v>5.8</v>
      </c>
      <c r="D18" s="1" t="s">
        <v>54</v>
      </c>
      <c r="E18" s="1">
        <v>0.2</v>
      </c>
      <c r="F18" s="1">
        <v>0.4</v>
      </c>
      <c r="G18" s="1">
        <v>0.0</v>
      </c>
      <c r="I18" s="1">
        <f t="shared" si="7"/>
        <v>0</v>
      </c>
      <c r="J18" s="1">
        <v>0.0</v>
      </c>
      <c r="L18" s="3">
        <f t="shared" si="12"/>
        <v>5.2</v>
      </c>
      <c r="M18" s="3">
        <f t="shared" si="8"/>
        <v>0</v>
      </c>
      <c r="N18" s="3">
        <f t="shared" si="9"/>
        <v>0</v>
      </c>
      <c r="O18" s="3">
        <f t="shared" si="10"/>
        <v>5.2</v>
      </c>
    </row>
    <row r="19">
      <c r="B19" s="1" t="s">
        <v>9</v>
      </c>
      <c r="C19" s="3">
        <f t="shared" si="11"/>
        <v>5.2</v>
      </c>
      <c r="D19" s="1" t="s">
        <v>54</v>
      </c>
      <c r="E19" s="1">
        <v>0.2</v>
      </c>
      <c r="F19" s="1">
        <v>0.4</v>
      </c>
      <c r="G19" s="1">
        <v>0.0</v>
      </c>
      <c r="I19" s="1">
        <f t="shared" si="7"/>
        <v>0</v>
      </c>
      <c r="J19" s="1">
        <v>0.0</v>
      </c>
      <c r="L19" s="3">
        <f t="shared" si="12"/>
        <v>4.6</v>
      </c>
      <c r="M19" s="3">
        <f t="shared" si="8"/>
        <v>0</v>
      </c>
      <c r="N19" s="3">
        <f t="shared" si="9"/>
        <v>0</v>
      </c>
      <c r="O19" s="3">
        <f t="shared" si="10"/>
        <v>4.6</v>
      </c>
    </row>
    <row r="20">
      <c r="B20" s="1" t="s">
        <v>10</v>
      </c>
      <c r="C20" s="3">
        <f t="shared" si="11"/>
        <v>4.6</v>
      </c>
      <c r="D20" s="1" t="s">
        <v>54</v>
      </c>
      <c r="E20" s="1">
        <v>0.1</v>
      </c>
      <c r="F20" s="1">
        <v>0.3</v>
      </c>
      <c r="G20" s="1">
        <v>0.0</v>
      </c>
      <c r="I20" s="1">
        <f t="shared" si="7"/>
        <v>0</v>
      </c>
      <c r="J20" s="1">
        <v>0.1</v>
      </c>
      <c r="L20" s="3">
        <f t="shared" si="12"/>
        <v>4.3</v>
      </c>
      <c r="M20" s="3">
        <f t="shared" si="8"/>
        <v>0</v>
      </c>
      <c r="N20" s="3">
        <f t="shared" si="9"/>
        <v>0</v>
      </c>
      <c r="O20" s="3">
        <f t="shared" si="10"/>
        <v>4.3</v>
      </c>
    </row>
    <row r="21">
      <c r="H21" s="1" t="s">
        <v>46</v>
      </c>
      <c r="I21" s="3">
        <f>SUM(I17:I20)</f>
        <v>0</v>
      </c>
      <c r="M21" s="3">
        <f>SUM(M17:M20)</f>
        <v>0</v>
      </c>
      <c r="N21" s="3">
        <f>sum(N17:N20)</f>
        <v>0</v>
      </c>
    </row>
    <row r="22">
      <c r="H22" s="1" t="s">
        <v>47</v>
      </c>
      <c r="I22" s="1">
        <f>if(I21&gt;0,0,50)</f>
        <v>50</v>
      </c>
      <c r="M22" s="1">
        <f>M21/20*50</f>
        <v>0</v>
      </c>
      <c r="N22" s="1">
        <f>if(N21&gt;0,N21/(1*4)*50,0)</f>
        <v>0</v>
      </c>
      <c r="O22" s="5">
        <f>sum(O17:O20)/24*50</f>
        <v>41.45833333</v>
      </c>
    </row>
    <row r="23">
      <c r="H23" s="1" t="s">
        <v>48</v>
      </c>
      <c r="I23" s="5">
        <f>I22+O22+M22</f>
        <v>91.45833333</v>
      </c>
    </row>
    <row r="25">
      <c r="B25" s="1" t="s">
        <v>50</v>
      </c>
    </row>
    <row r="26">
      <c r="B26" s="1" t="s">
        <v>32</v>
      </c>
      <c r="C26" s="1" t="s">
        <v>33</v>
      </c>
      <c r="D26" s="1" t="s">
        <v>51</v>
      </c>
      <c r="E26" s="1" t="s">
        <v>35</v>
      </c>
      <c r="F26" s="1" t="s">
        <v>20</v>
      </c>
      <c r="G26" s="1" t="s">
        <v>36</v>
      </c>
      <c r="H26" s="1" t="s">
        <v>37</v>
      </c>
      <c r="I26" s="1" t="s">
        <v>38</v>
      </c>
      <c r="J26" s="1" t="s">
        <v>39</v>
      </c>
      <c r="K26" s="1" t="s">
        <v>40</v>
      </c>
      <c r="L26" s="1" t="s">
        <v>41</v>
      </c>
      <c r="M26" s="1" t="s">
        <v>43</v>
      </c>
      <c r="N26" s="1" t="s">
        <v>44</v>
      </c>
      <c r="O26" s="1" t="s">
        <v>45</v>
      </c>
    </row>
    <row r="27">
      <c r="B27" s="1" t="s">
        <v>6</v>
      </c>
      <c r="C27" s="1">
        <v>6.0</v>
      </c>
      <c r="D27" s="1" t="s">
        <v>13</v>
      </c>
      <c r="E27" s="1">
        <v>0.1</v>
      </c>
      <c r="F27" s="1">
        <v>0.1</v>
      </c>
      <c r="G27" s="1">
        <v>0.0</v>
      </c>
      <c r="I27" s="1">
        <f t="shared" ref="I27:I31" si="13">max(L27-13,0)</f>
        <v>0</v>
      </c>
      <c r="J27" s="1">
        <v>0.3</v>
      </c>
      <c r="L27" s="3">
        <f>C27+J27-E27-F27-G27-I27</f>
        <v>6.1</v>
      </c>
      <c r="M27" s="3">
        <f t="shared" ref="M27:M31" si="14">min(L27-$B$22,0)</f>
        <v>0</v>
      </c>
      <c r="N27" s="3">
        <f t="shared" ref="N27:N31" si="15">if(AND(L27&gt;=$B$22,L27&lt;=$D$22),L27-$B$22,0)</f>
        <v>0</v>
      </c>
      <c r="O27" s="3">
        <f t="shared" ref="O27:O31" si="16">min(L27,$D$22)</f>
        <v>6.1</v>
      </c>
    </row>
    <row r="28">
      <c r="B28" s="1" t="s">
        <v>7</v>
      </c>
      <c r="C28" s="3">
        <f t="shared" ref="C28:C31" si="17">L27</f>
        <v>6.1</v>
      </c>
      <c r="D28" s="1" t="s">
        <v>12</v>
      </c>
      <c r="E28" s="1">
        <v>0.2</v>
      </c>
      <c r="F28" s="1">
        <v>0.3</v>
      </c>
      <c r="G28" s="1">
        <v>0.0</v>
      </c>
      <c r="I28" s="1">
        <f t="shared" si="13"/>
        <v>0</v>
      </c>
      <c r="J28" s="1">
        <v>0.2</v>
      </c>
      <c r="L28" s="3">
        <f t="shared" ref="L28:L31" si="18">C28-E28-F28-G28+J28</f>
        <v>5.8</v>
      </c>
      <c r="M28" s="3">
        <f t="shared" si="14"/>
        <v>0</v>
      </c>
      <c r="N28" s="3">
        <f t="shared" si="15"/>
        <v>0</v>
      </c>
      <c r="O28" s="3">
        <f t="shared" si="16"/>
        <v>5.8</v>
      </c>
    </row>
    <row r="29">
      <c r="B29" s="1" t="s">
        <v>8</v>
      </c>
      <c r="C29" s="3">
        <f t="shared" si="17"/>
        <v>5.8</v>
      </c>
      <c r="D29" s="1" t="s">
        <v>12</v>
      </c>
      <c r="E29" s="1">
        <v>0.2</v>
      </c>
      <c r="F29" s="1">
        <v>0.4</v>
      </c>
      <c r="G29" s="1">
        <v>0.0</v>
      </c>
      <c r="I29" s="1">
        <f t="shared" si="13"/>
        <v>0</v>
      </c>
      <c r="J29" s="1">
        <v>0.0</v>
      </c>
      <c r="L29" s="3">
        <f t="shared" si="18"/>
        <v>5.2</v>
      </c>
      <c r="M29" s="3">
        <f t="shared" si="14"/>
        <v>0</v>
      </c>
      <c r="N29" s="3">
        <f t="shared" si="15"/>
        <v>0</v>
      </c>
      <c r="O29" s="3">
        <f t="shared" si="16"/>
        <v>5.2</v>
      </c>
    </row>
    <row r="30">
      <c r="B30" s="1" t="s">
        <v>9</v>
      </c>
      <c r="C30" s="3">
        <f t="shared" si="17"/>
        <v>5.2</v>
      </c>
      <c r="D30" s="1" t="s">
        <v>12</v>
      </c>
      <c r="E30" s="1">
        <v>0.2</v>
      </c>
      <c r="F30" s="1">
        <v>0.4</v>
      </c>
      <c r="G30" s="1">
        <v>0.0</v>
      </c>
      <c r="I30" s="1">
        <f t="shared" si="13"/>
        <v>0</v>
      </c>
      <c r="J30" s="1">
        <v>0.0</v>
      </c>
      <c r="L30" s="3">
        <f t="shared" si="18"/>
        <v>4.6</v>
      </c>
      <c r="M30" s="3">
        <f t="shared" si="14"/>
        <v>0</v>
      </c>
      <c r="N30" s="3">
        <f t="shared" si="15"/>
        <v>0</v>
      </c>
      <c r="O30" s="3">
        <f t="shared" si="16"/>
        <v>4.6</v>
      </c>
    </row>
    <row r="31">
      <c r="B31" s="1" t="s">
        <v>10</v>
      </c>
      <c r="C31" s="3">
        <f t="shared" si="17"/>
        <v>4.6</v>
      </c>
      <c r="D31" s="1" t="s">
        <v>13</v>
      </c>
      <c r="E31" s="1">
        <v>0.1</v>
      </c>
      <c r="F31" s="1">
        <v>0.3</v>
      </c>
      <c r="G31" s="1">
        <v>0.0</v>
      </c>
      <c r="I31" s="1">
        <f t="shared" si="13"/>
        <v>0</v>
      </c>
      <c r="J31" s="1">
        <v>0.1</v>
      </c>
      <c r="L31" s="3">
        <f t="shared" si="18"/>
        <v>4.3</v>
      </c>
      <c r="M31" s="3">
        <f t="shared" si="14"/>
        <v>0</v>
      </c>
      <c r="N31" s="3">
        <f t="shared" si="15"/>
        <v>0</v>
      </c>
      <c r="O31" s="3">
        <f t="shared" si="16"/>
        <v>4.3</v>
      </c>
    </row>
    <row r="32">
      <c r="H32" s="1" t="s">
        <v>46</v>
      </c>
      <c r="I32" s="3">
        <f>SUM(I28:I31)</f>
        <v>0</v>
      </c>
      <c r="M32" s="3">
        <f>SUM(M28:M31)</f>
        <v>0</v>
      </c>
      <c r="N32" s="3">
        <f>sum(N28:N31)</f>
        <v>0</v>
      </c>
    </row>
    <row r="33">
      <c r="H33" s="1" t="s">
        <v>47</v>
      </c>
      <c r="I33" s="1">
        <f>if(I32&gt;0,0,50)</f>
        <v>50</v>
      </c>
      <c r="M33" s="1">
        <f>M32/20*50</f>
        <v>0</v>
      </c>
      <c r="N33" s="1">
        <f>if(N32&gt;0,N32/(1*4)*50,0)</f>
        <v>0</v>
      </c>
      <c r="O33" s="5">
        <f>sum(O28:O31)/24*50</f>
        <v>41.45833333</v>
      </c>
    </row>
    <row r="34">
      <c r="H34" s="1" t="s">
        <v>48</v>
      </c>
      <c r="I34" s="5">
        <f>I33+O33+M33</f>
        <v>91.45833333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</cols>
  <sheetData>
    <row r="1">
      <c r="A1" s="1">
        <v>2016.0</v>
      </c>
      <c r="B1" s="1" t="s">
        <v>4</v>
      </c>
      <c r="C1" s="1" t="s">
        <v>17</v>
      </c>
    </row>
    <row r="2">
      <c r="A2" s="1" t="s">
        <v>5</v>
      </c>
      <c r="B2" s="1">
        <v>3.33</v>
      </c>
      <c r="C2" s="1">
        <v>6.18</v>
      </c>
    </row>
    <row r="3">
      <c r="A3" s="1" t="s">
        <v>6</v>
      </c>
      <c r="B3" s="1">
        <v>4.7</v>
      </c>
      <c r="C3" s="1">
        <v>12.63</v>
      </c>
    </row>
    <row r="4">
      <c r="A4" s="1" t="s">
        <v>7</v>
      </c>
      <c r="B4" s="1">
        <v>3.9</v>
      </c>
      <c r="C4" s="1">
        <v>2.62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</row>
    <row r="5">
      <c r="A5" s="1" t="s">
        <v>8</v>
      </c>
      <c r="B5" s="1">
        <v>2.0</v>
      </c>
      <c r="C5" s="1">
        <v>1.21</v>
      </c>
      <c r="E5" s="1">
        <v>239.0</v>
      </c>
      <c r="F5" s="1">
        <v>230.0</v>
      </c>
      <c r="G5" s="1">
        <v>4000.0</v>
      </c>
      <c r="H5" s="3">
        <f t="shared" ref="H5:H10" si="1">F5+G5</f>
        <v>4230</v>
      </c>
      <c r="I5" s="1">
        <v>1270.0</v>
      </c>
      <c r="J5" s="1">
        <v>4030.0</v>
      </c>
      <c r="L5" s="1">
        <v>19600.0</v>
      </c>
      <c r="M5" s="1">
        <v>7500.0</v>
      </c>
    </row>
    <row r="6">
      <c r="A6" s="1" t="s">
        <v>9</v>
      </c>
      <c r="B6" s="1">
        <v>2.9</v>
      </c>
      <c r="C6" s="1">
        <v>6.18</v>
      </c>
      <c r="E6" s="1">
        <v>240.0</v>
      </c>
      <c r="F6" s="1">
        <v>250.0</v>
      </c>
      <c r="G6" s="1">
        <v>4000.0</v>
      </c>
      <c r="H6" s="3">
        <f t="shared" si="1"/>
        <v>4250</v>
      </c>
      <c r="I6" s="1">
        <v>2000.0</v>
      </c>
      <c r="J6" s="1">
        <v>4950.0</v>
      </c>
      <c r="K6" s="1" t="s">
        <v>27</v>
      </c>
      <c r="L6" s="1">
        <v>36600.0</v>
      </c>
      <c r="M6" s="1">
        <v>9100.0</v>
      </c>
    </row>
    <row r="7">
      <c r="A7" s="1" t="s">
        <v>10</v>
      </c>
      <c r="B7" s="1">
        <v>3.4</v>
      </c>
      <c r="C7" s="1">
        <v>0.98</v>
      </c>
      <c r="E7" s="1">
        <v>238.0</v>
      </c>
      <c r="F7" s="1">
        <v>300.0</v>
      </c>
      <c r="G7" s="1">
        <v>12000.0</v>
      </c>
      <c r="H7" s="3">
        <f t="shared" si="1"/>
        <v>12300</v>
      </c>
      <c r="I7" s="1">
        <v>8200.0</v>
      </c>
      <c r="J7" s="1">
        <v>8100.0</v>
      </c>
      <c r="K7" s="1" t="s">
        <v>28</v>
      </c>
      <c r="L7" s="1">
        <v>20500.0</v>
      </c>
      <c r="M7" s="1">
        <v>12000.0</v>
      </c>
    </row>
    <row r="8">
      <c r="E8" s="1">
        <v>234.0</v>
      </c>
      <c r="F8" s="1">
        <v>350.0</v>
      </c>
      <c r="G8" s="1">
        <v>13000.0</v>
      </c>
      <c r="H8" s="3">
        <f t="shared" si="1"/>
        <v>13350</v>
      </c>
      <c r="I8" s="1">
        <v>0.0</v>
      </c>
      <c r="J8" s="1">
        <v>9550.0</v>
      </c>
      <c r="K8" s="1" t="s">
        <v>27</v>
      </c>
      <c r="L8" s="1">
        <v>11700.0</v>
      </c>
      <c r="M8" s="1">
        <v>3115.0</v>
      </c>
    </row>
    <row r="9">
      <c r="E9" s="1">
        <v>233.0</v>
      </c>
      <c r="F9" s="1">
        <v>350.0</v>
      </c>
      <c r="G9" s="1">
        <v>12000.0</v>
      </c>
      <c r="H9" s="3">
        <f t="shared" si="1"/>
        <v>12350</v>
      </c>
      <c r="I9" s="1">
        <v>0.0</v>
      </c>
      <c r="J9" s="1">
        <v>8850.0</v>
      </c>
      <c r="K9" s="1" t="s">
        <v>28</v>
      </c>
      <c r="L9" s="1">
        <v>10700.0</v>
      </c>
      <c r="M9" s="1">
        <v>5750.0</v>
      </c>
    </row>
    <row r="10">
      <c r="E10" s="1">
        <v>232.0</v>
      </c>
      <c r="F10" s="1">
        <v>280.0</v>
      </c>
      <c r="G10" s="1">
        <v>10000.0</v>
      </c>
      <c r="H10" s="3">
        <f t="shared" si="1"/>
        <v>10280</v>
      </c>
      <c r="I10" s="1">
        <v>0.0</v>
      </c>
      <c r="J10" s="1">
        <v>7280.0</v>
      </c>
      <c r="K10" s="1" t="s">
        <v>27</v>
      </c>
      <c r="L10" s="1">
        <v>15500.0</v>
      </c>
      <c r="M10" s="1">
        <v>4250.0</v>
      </c>
    </row>
    <row r="13">
      <c r="B13" s="1" t="s">
        <v>4</v>
      </c>
      <c r="C13" s="1" t="s">
        <v>17</v>
      </c>
      <c r="E13" s="1" t="s">
        <v>18</v>
      </c>
      <c r="F13" s="1"/>
      <c r="G13" s="1"/>
      <c r="H13" s="1" t="s">
        <v>29</v>
      </c>
      <c r="J13" s="1" t="s">
        <v>23</v>
      </c>
      <c r="K13" s="1" t="s">
        <v>24</v>
      </c>
      <c r="L13" s="1" t="s">
        <v>25</v>
      </c>
      <c r="M13" s="1" t="s">
        <v>26</v>
      </c>
    </row>
    <row r="14">
      <c r="A14" s="1" t="s">
        <v>5</v>
      </c>
      <c r="B14" s="4">
        <v>3.33</v>
      </c>
      <c r="C14" s="4">
        <v>3.46</v>
      </c>
      <c r="E14" s="1">
        <f>0.5</f>
        <v>0.5</v>
      </c>
      <c r="F14" s="1"/>
      <c r="G14" s="1"/>
      <c r="H14" s="4">
        <f t="shared" ref="H14:H19" si="2">(H5)/11400</f>
        <v>0.3710526316</v>
      </c>
      <c r="J14" s="5">
        <f t="shared" ref="J14:J19" si="3">J5/11400</f>
        <v>0.3535087719</v>
      </c>
      <c r="L14" s="5">
        <f t="shared" ref="L14:L19" si="4">L5/11400</f>
        <v>1.719298246</v>
      </c>
      <c r="M14" s="1">
        <v>0.65</v>
      </c>
    </row>
    <row r="15">
      <c r="A15" s="1" t="s">
        <v>6</v>
      </c>
      <c r="B15" s="4">
        <v>4.7</v>
      </c>
      <c r="C15" s="4">
        <v>6.01</v>
      </c>
      <c r="E15" s="1">
        <f>1</f>
        <v>1</v>
      </c>
      <c r="F15" s="1"/>
      <c r="G15" s="1"/>
      <c r="H15" s="4">
        <f t="shared" si="2"/>
        <v>0.3728070175</v>
      </c>
      <c r="J15" s="5">
        <f t="shared" si="3"/>
        <v>0.4342105263</v>
      </c>
      <c r="K15" s="1" t="s">
        <v>27</v>
      </c>
      <c r="L15" s="5">
        <f t="shared" si="4"/>
        <v>3.210526316</v>
      </c>
      <c r="M15" s="6">
        <f t="shared" ref="M15:M19" si="5">M6/11400</f>
        <v>0.798245614</v>
      </c>
    </row>
    <row r="16">
      <c r="A16" s="1" t="s">
        <v>7</v>
      </c>
      <c r="B16" s="4">
        <v>3.9</v>
      </c>
      <c r="C16" s="4">
        <v>2.02</v>
      </c>
      <c r="E16" s="1">
        <v>0.0</v>
      </c>
      <c r="F16" s="1"/>
      <c r="G16" s="1"/>
      <c r="H16" s="4">
        <f t="shared" si="2"/>
        <v>1.078947368</v>
      </c>
      <c r="J16" s="5">
        <f t="shared" si="3"/>
        <v>0.7105263158</v>
      </c>
      <c r="K16" s="1" t="s">
        <v>28</v>
      </c>
      <c r="L16" s="5">
        <f t="shared" si="4"/>
        <v>1.798245614</v>
      </c>
      <c r="M16" s="6">
        <f t="shared" si="5"/>
        <v>1.052631579</v>
      </c>
    </row>
    <row r="17">
      <c r="A17" s="1" t="s">
        <v>8</v>
      </c>
      <c r="B17" s="4">
        <v>2.0</v>
      </c>
      <c r="C17" s="4">
        <v>1.94</v>
      </c>
      <c r="E17" s="1">
        <v>-2.0</v>
      </c>
      <c r="F17" s="1"/>
      <c r="G17" s="1"/>
      <c r="H17" s="4">
        <f t="shared" si="2"/>
        <v>1.171052632</v>
      </c>
      <c r="J17" s="5">
        <f t="shared" si="3"/>
        <v>0.8377192982</v>
      </c>
      <c r="K17" s="1" t="s">
        <v>27</v>
      </c>
      <c r="L17" s="5">
        <f t="shared" si="4"/>
        <v>1.026315789</v>
      </c>
      <c r="M17" s="6">
        <f t="shared" si="5"/>
        <v>0.273245614</v>
      </c>
    </row>
    <row r="18">
      <c r="A18" s="1" t="s">
        <v>9</v>
      </c>
      <c r="B18" s="4">
        <v>2.9</v>
      </c>
      <c r="C18" s="4">
        <v>3.14</v>
      </c>
      <c r="E18" s="1">
        <v>-2.5</v>
      </c>
      <c r="F18" s="1"/>
      <c r="G18" s="1"/>
      <c r="H18" s="4">
        <f t="shared" si="2"/>
        <v>1.083333333</v>
      </c>
      <c r="J18" s="5">
        <f t="shared" si="3"/>
        <v>0.7763157895</v>
      </c>
      <c r="K18" s="1" t="s">
        <v>28</v>
      </c>
      <c r="L18" s="5">
        <f t="shared" si="4"/>
        <v>0.9385964912</v>
      </c>
      <c r="M18" s="6">
        <f t="shared" si="5"/>
        <v>0.5043859649</v>
      </c>
    </row>
    <row r="19">
      <c r="A19" s="1" t="s">
        <v>10</v>
      </c>
      <c r="B19" s="4">
        <v>3.4</v>
      </c>
      <c r="C19" s="4">
        <v>3.4</v>
      </c>
      <c r="E19" s="1">
        <v>-3.0</v>
      </c>
      <c r="F19" s="1"/>
      <c r="G19" s="1"/>
      <c r="H19" s="4">
        <f t="shared" si="2"/>
        <v>0.901754386</v>
      </c>
      <c r="J19" s="5">
        <f t="shared" si="3"/>
        <v>0.6385964912</v>
      </c>
      <c r="K19" s="1" t="s">
        <v>27</v>
      </c>
      <c r="L19" s="5">
        <f t="shared" si="4"/>
        <v>1.359649123</v>
      </c>
      <c r="M19" s="6">
        <f t="shared" si="5"/>
        <v>0.3728070175</v>
      </c>
    </row>
    <row r="21">
      <c r="A21" s="1" t="s">
        <v>0</v>
      </c>
      <c r="B21" s="1" t="s">
        <v>1</v>
      </c>
      <c r="C21" s="1" t="s">
        <v>2</v>
      </c>
      <c r="D21" s="1" t="s">
        <v>3</v>
      </c>
      <c r="E21" s="1" t="s">
        <v>55</v>
      </c>
    </row>
    <row r="22">
      <c r="A22" s="1">
        <f>B22+C22</f>
        <v>13</v>
      </c>
      <c r="B22" s="1">
        <v>5.0</v>
      </c>
      <c r="C22" s="1">
        <v>8.0</v>
      </c>
      <c r="D22" s="1">
        <v>6.0</v>
      </c>
      <c r="E22" s="1">
        <v>8.0</v>
      </c>
    </row>
    <row r="24">
      <c r="B24" s="1" t="s">
        <v>31</v>
      </c>
      <c r="I24" s="5">
        <f>L26</f>
        <v>13.8</v>
      </c>
    </row>
    <row r="25">
      <c r="B25" s="1" t="s">
        <v>32</v>
      </c>
      <c r="C25" s="1" t="s">
        <v>33</v>
      </c>
      <c r="D25" s="1" t="s">
        <v>56</v>
      </c>
      <c r="E25" s="1" t="s">
        <v>35</v>
      </c>
      <c r="F25" s="1" t="s">
        <v>20</v>
      </c>
      <c r="G25" s="1" t="s">
        <v>36</v>
      </c>
      <c r="H25" s="1" t="s">
        <v>37</v>
      </c>
      <c r="I25" s="1" t="s">
        <v>38</v>
      </c>
      <c r="J25" s="1" t="s">
        <v>39</v>
      </c>
      <c r="K25" s="1" t="s">
        <v>40</v>
      </c>
      <c r="L25" s="1" t="s">
        <v>41</v>
      </c>
      <c r="M25" s="1" t="s">
        <v>43</v>
      </c>
      <c r="N25" s="1" t="s">
        <v>44</v>
      </c>
      <c r="O25" s="1" t="s">
        <v>45</v>
      </c>
    </row>
    <row r="26">
      <c r="B26" s="1" t="s">
        <v>6</v>
      </c>
      <c r="C26" s="1">
        <v>6.0</v>
      </c>
      <c r="E26" s="1">
        <v>0.1</v>
      </c>
      <c r="F26" s="1">
        <v>0.1</v>
      </c>
      <c r="G26" s="1">
        <v>1.0</v>
      </c>
      <c r="I26" s="1">
        <f t="shared" ref="I26:I30" si="6">max(L26-13,0)</f>
        <v>0.8</v>
      </c>
      <c r="J26" s="1">
        <v>9.0</v>
      </c>
      <c r="L26" s="3">
        <f t="shared" ref="L26:L30" si="7">C26+J26-E26-F26-G26-I26</f>
        <v>13</v>
      </c>
      <c r="M26" s="3">
        <f t="shared" ref="M26:M30" si="8">min(L26-$B$22,0)</f>
        <v>0</v>
      </c>
      <c r="N26" s="3">
        <f t="shared" ref="N26:N30" si="9">if(AND(L26&gt;=$B$22,L26&lt;=$D$22),L26-$B$22,0)</f>
        <v>0</v>
      </c>
      <c r="O26" s="3">
        <f t="shared" ref="O26:O30" si="10">min(L26,$D$22)</f>
        <v>6</v>
      </c>
    </row>
    <row r="27">
      <c r="B27" s="1" t="s">
        <v>7</v>
      </c>
      <c r="C27" s="3">
        <f t="shared" ref="C27:C30" si="11">L26</f>
        <v>13</v>
      </c>
      <c r="E27" s="1">
        <v>0.2</v>
      </c>
      <c r="F27" s="1">
        <v>0.3</v>
      </c>
      <c r="G27" s="1">
        <v>8.0</v>
      </c>
      <c r="I27" s="1">
        <f t="shared" si="6"/>
        <v>0</v>
      </c>
      <c r="J27" s="1">
        <v>7.0</v>
      </c>
      <c r="L27" s="3">
        <f t="shared" si="7"/>
        <v>11.5</v>
      </c>
      <c r="M27" s="3">
        <f t="shared" si="8"/>
        <v>0</v>
      </c>
      <c r="N27" s="3">
        <f t="shared" si="9"/>
        <v>0</v>
      </c>
      <c r="O27" s="3">
        <f t="shared" si="10"/>
        <v>6</v>
      </c>
    </row>
    <row r="28">
      <c r="B28" s="1" t="s">
        <v>8</v>
      </c>
      <c r="C28" s="3">
        <f t="shared" si="11"/>
        <v>11.5</v>
      </c>
      <c r="E28" s="1">
        <v>0.2</v>
      </c>
      <c r="F28" s="1">
        <v>0.4</v>
      </c>
      <c r="G28" s="1">
        <v>8.0</v>
      </c>
      <c r="I28" s="1">
        <f t="shared" si="6"/>
        <v>0</v>
      </c>
      <c r="J28" s="1">
        <v>5.0</v>
      </c>
      <c r="L28" s="3">
        <f t="shared" si="7"/>
        <v>7.9</v>
      </c>
      <c r="M28" s="3">
        <f t="shared" si="8"/>
        <v>0</v>
      </c>
      <c r="N28" s="3">
        <f t="shared" si="9"/>
        <v>0</v>
      </c>
      <c r="O28" s="3">
        <f t="shared" si="10"/>
        <v>6</v>
      </c>
    </row>
    <row r="29">
      <c r="B29" s="1" t="s">
        <v>9</v>
      </c>
      <c r="C29" s="3">
        <f t="shared" si="11"/>
        <v>7.9</v>
      </c>
      <c r="E29" s="1">
        <v>0.2</v>
      </c>
      <c r="F29" s="1">
        <v>0.4</v>
      </c>
      <c r="G29" s="1">
        <v>2.1</v>
      </c>
      <c r="I29" s="1">
        <f t="shared" si="6"/>
        <v>0</v>
      </c>
      <c r="J29" s="1">
        <v>1.0</v>
      </c>
      <c r="L29" s="3">
        <f t="shared" si="7"/>
        <v>6.2</v>
      </c>
      <c r="M29" s="3">
        <f t="shared" si="8"/>
        <v>0</v>
      </c>
      <c r="N29" s="3">
        <f t="shared" si="9"/>
        <v>0</v>
      </c>
      <c r="O29" s="3">
        <f t="shared" si="10"/>
        <v>6</v>
      </c>
    </row>
    <row r="30">
      <c r="B30" s="1" t="s">
        <v>10</v>
      </c>
      <c r="C30" s="3">
        <f t="shared" si="11"/>
        <v>6.2</v>
      </c>
      <c r="E30" s="1">
        <v>0.1</v>
      </c>
      <c r="F30" s="1">
        <v>0.3</v>
      </c>
      <c r="G30" s="1">
        <v>1.6</v>
      </c>
      <c r="I30" s="1">
        <f t="shared" si="6"/>
        <v>0</v>
      </c>
      <c r="J30" s="1">
        <v>0.5</v>
      </c>
      <c r="L30" s="3">
        <f t="shared" si="7"/>
        <v>4.7</v>
      </c>
      <c r="M30" s="3">
        <f t="shared" si="8"/>
        <v>-0.3</v>
      </c>
      <c r="N30" s="3">
        <f t="shared" si="9"/>
        <v>0</v>
      </c>
      <c r="O30" s="3">
        <f t="shared" si="10"/>
        <v>4.7</v>
      </c>
    </row>
    <row r="31">
      <c r="B31" s="1" t="s">
        <v>38</v>
      </c>
      <c r="C31" s="3">
        <f>max(C26-13,0)+max(C27-13,0)+max(C28-13,0)+max(C29-13,0)+max(C30-13,0)</f>
        <v>0</v>
      </c>
      <c r="M31" s="3">
        <f>SUM(M27:M30)</f>
        <v>-0.3</v>
      </c>
      <c r="N31" s="3">
        <f>sum(N27:N30)</f>
        <v>0</v>
      </c>
    </row>
    <row r="32">
      <c r="B32" s="1" t="s">
        <v>47</v>
      </c>
      <c r="C32" s="1">
        <f>if(C31&gt;0,0,50)</f>
        <v>50</v>
      </c>
      <c r="M32" s="1">
        <f>M31/20*50</f>
        <v>-0.75</v>
      </c>
      <c r="N32" s="1">
        <f>if(N31&gt;0,N31/(1*4)*50,0)</f>
        <v>0</v>
      </c>
      <c r="O32" s="5">
        <f>sum(O27:O30)/24*50</f>
        <v>47.29166667</v>
      </c>
    </row>
    <row r="33">
      <c r="B33" s="1" t="s">
        <v>48</v>
      </c>
      <c r="C33" s="5">
        <f>C32+M32+O32</f>
        <v>96.54166667</v>
      </c>
    </row>
    <row r="35">
      <c r="B35" s="1" t="s">
        <v>52</v>
      </c>
    </row>
    <row r="36">
      <c r="B36" s="1" t="s">
        <v>32</v>
      </c>
      <c r="C36" s="1" t="s">
        <v>33</v>
      </c>
      <c r="D36" s="1" t="s">
        <v>56</v>
      </c>
      <c r="E36" s="1" t="s">
        <v>35</v>
      </c>
      <c r="F36" s="1" t="s">
        <v>20</v>
      </c>
      <c r="G36" s="1" t="s">
        <v>36</v>
      </c>
      <c r="H36" s="1" t="s">
        <v>37</v>
      </c>
      <c r="I36" s="1" t="s">
        <v>38</v>
      </c>
      <c r="J36" s="1" t="s">
        <v>39</v>
      </c>
      <c r="K36" s="1" t="s">
        <v>40</v>
      </c>
      <c r="L36" s="1" t="s">
        <v>41</v>
      </c>
      <c r="M36" s="1" t="s">
        <v>43</v>
      </c>
      <c r="N36" s="1" t="s">
        <v>44</v>
      </c>
      <c r="O36" s="1" t="s">
        <v>45</v>
      </c>
    </row>
    <row r="37">
      <c r="B37" s="1" t="s">
        <v>6</v>
      </c>
      <c r="C37" s="1">
        <v>6.0</v>
      </c>
      <c r="E37" s="1">
        <v>0.1</v>
      </c>
      <c r="F37" s="1">
        <v>0.1</v>
      </c>
      <c r="G37" s="1">
        <v>1.0</v>
      </c>
      <c r="I37" s="1">
        <f t="shared" ref="I37:I41" si="12">max(L37-13,0)</f>
        <v>0.8</v>
      </c>
      <c r="J37" s="1">
        <v>9.0</v>
      </c>
      <c r="L37" s="3">
        <f t="shared" ref="L37:L41" si="13">C37+J37-E37-F37-G37-I37</f>
        <v>13</v>
      </c>
      <c r="M37" s="3">
        <f t="shared" ref="M37:M41" si="14">min(L37-$B$22,0)</f>
        <v>0</v>
      </c>
      <c r="N37" s="3">
        <f t="shared" ref="N37:N41" si="15">if(AND(L37&gt;=$B$22,L37&lt;=$D$22),L37-$B$22,0)</f>
        <v>0</v>
      </c>
      <c r="O37" s="3">
        <f t="shared" ref="O37:O41" si="16">min(L37,$D$22)</f>
        <v>6</v>
      </c>
    </row>
    <row r="38">
      <c r="B38" s="1" t="s">
        <v>7</v>
      </c>
      <c r="C38" s="3">
        <f t="shared" ref="C38:C41" si="17">L37</f>
        <v>13</v>
      </c>
      <c r="E38" s="1">
        <v>0.2</v>
      </c>
      <c r="F38" s="1">
        <v>0.3</v>
      </c>
      <c r="G38" s="1">
        <v>8.0</v>
      </c>
      <c r="I38" s="1">
        <f t="shared" si="12"/>
        <v>0</v>
      </c>
      <c r="J38" s="1">
        <v>7.0</v>
      </c>
      <c r="L38" s="3">
        <f t="shared" si="13"/>
        <v>11.5</v>
      </c>
      <c r="M38" s="3">
        <f t="shared" si="14"/>
        <v>0</v>
      </c>
      <c r="N38" s="3">
        <f t="shared" si="15"/>
        <v>0</v>
      </c>
      <c r="O38" s="3">
        <f t="shared" si="16"/>
        <v>6</v>
      </c>
    </row>
    <row r="39">
      <c r="B39" s="1" t="s">
        <v>8</v>
      </c>
      <c r="C39" s="3">
        <f t="shared" si="17"/>
        <v>11.5</v>
      </c>
      <c r="E39" s="1">
        <v>0.2</v>
      </c>
      <c r="F39" s="1">
        <v>0.4</v>
      </c>
      <c r="G39" s="1">
        <v>6.0</v>
      </c>
      <c r="I39" s="1">
        <f t="shared" si="12"/>
        <v>0</v>
      </c>
      <c r="J39" s="1">
        <v>5.0</v>
      </c>
      <c r="L39" s="3">
        <f t="shared" si="13"/>
        <v>9.9</v>
      </c>
      <c r="M39" s="3">
        <f t="shared" si="14"/>
        <v>0</v>
      </c>
      <c r="N39" s="3">
        <f t="shared" si="15"/>
        <v>0</v>
      </c>
      <c r="O39" s="3">
        <f t="shared" si="16"/>
        <v>6</v>
      </c>
    </row>
    <row r="40">
      <c r="B40" s="1" t="s">
        <v>9</v>
      </c>
      <c r="C40" s="3">
        <f t="shared" si="17"/>
        <v>9.9</v>
      </c>
      <c r="E40" s="1">
        <v>0.2</v>
      </c>
      <c r="F40" s="1">
        <v>0.4</v>
      </c>
      <c r="G40" s="1">
        <v>4.0</v>
      </c>
      <c r="I40" s="1">
        <f t="shared" si="12"/>
        <v>0</v>
      </c>
      <c r="J40" s="1">
        <v>1.0</v>
      </c>
      <c r="L40" s="3">
        <f t="shared" si="13"/>
        <v>6.3</v>
      </c>
      <c r="M40" s="3">
        <f t="shared" si="14"/>
        <v>0</v>
      </c>
      <c r="N40" s="3">
        <f t="shared" si="15"/>
        <v>0</v>
      </c>
      <c r="O40" s="3">
        <f t="shared" si="16"/>
        <v>6</v>
      </c>
    </row>
    <row r="41">
      <c r="B41" s="1" t="s">
        <v>10</v>
      </c>
      <c r="C41" s="3">
        <f t="shared" si="17"/>
        <v>6.3</v>
      </c>
      <c r="E41" s="1">
        <v>0.1</v>
      </c>
      <c r="F41" s="1">
        <v>0.3</v>
      </c>
      <c r="G41" s="1">
        <v>1.2</v>
      </c>
      <c r="I41" s="1">
        <f t="shared" si="12"/>
        <v>0</v>
      </c>
      <c r="J41" s="1">
        <v>0.5</v>
      </c>
      <c r="L41" s="3">
        <f t="shared" si="13"/>
        <v>5.2</v>
      </c>
      <c r="M41" s="3">
        <f t="shared" si="14"/>
        <v>0</v>
      </c>
      <c r="N41" s="3">
        <f t="shared" si="15"/>
        <v>0.2</v>
      </c>
      <c r="O41" s="3">
        <f t="shared" si="16"/>
        <v>5.2</v>
      </c>
    </row>
    <row r="42">
      <c r="B42" s="1" t="s">
        <v>38</v>
      </c>
      <c r="C42" s="3">
        <f>max(C37-13,0)+max(C38-13,0)+max(C39-13,0)+max(C40-13,0)+max(C41-13,0)</f>
        <v>0</v>
      </c>
      <c r="M42" s="3">
        <f>SUM(M38:M41)</f>
        <v>0</v>
      </c>
      <c r="N42" s="3">
        <f>sum(N38:N41)</f>
        <v>0.2</v>
      </c>
    </row>
    <row r="43">
      <c r="B43" s="1" t="s">
        <v>47</v>
      </c>
      <c r="C43" s="1">
        <f>if(C42&gt;0,0,50)</f>
        <v>50</v>
      </c>
      <c r="M43" s="1">
        <f>M42/20*50</f>
        <v>0</v>
      </c>
      <c r="N43" s="1">
        <f>if(N42&gt;0,N42/(1*4)*50,0)</f>
        <v>2.5</v>
      </c>
      <c r="O43" s="5">
        <f>sum(O38:O41)/24*50</f>
        <v>48.33333333</v>
      </c>
    </row>
    <row r="44">
      <c r="B44" s="1" t="s">
        <v>48</v>
      </c>
      <c r="C44" s="5">
        <f>C43+M43+O43</f>
        <v>98.33333333</v>
      </c>
    </row>
    <row r="46">
      <c r="B46" s="1" t="s">
        <v>57</v>
      </c>
    </row>
    <row r="47">
      <c r="B47" s="1" t="s">
        <v>32</v>
      </c>
      <c r="C47" s="1" t="s">
        <v>33</v>
      </c>
      <c r="D47" s="1" t="s">
        <v>56</v>
      </c>
      <c r="E47" s="1" t="s">
        <v>35</v>
      </c>
      <c r="F47" s="1" t="s">
        <v>20</v>
      </c>
      <c r="G47" s="1" t="s">
        <v>36</v>
      </c>
      <c r="H47" s="1" t="s">
        <v>37</v>
      </c>
      <c r="I47" s="1" t="s">
        <v>38</v>
      </c>
      <c r="J47" s="1" t="s">
        <v>39</v>
      </c>
      <c r="K47" s="1" t="s">
        <v>40</v>
      </c>
      <c r="L47" s="1" t="s">
        <v>41</v>
      </c>
      <c r="M47" s="1" t="s">
        <v>43</v>
      </c>
      <c r="N47" s="1" t="s">
        <v>44</v>
      </c>
      <c r="O47" s="1" t="s">
        <v>45</v>
      </c>
    </row>
    <row r="48">
      <c r="B48" s="1" t="s">
        <v>6</v>
      </c>
      <c r="C48" s="1">
        <v>6.0</v>
      </c>
      <c r="D48" s="1" t="s">
        <v>14</v>
      </c>
      <c r="E48" s="1">
        <v>0.1</v>
      </c>
      <c r="F48" s="1">
        <v>0.1</v>
      </c>
      <c r="G48" s="1">
        <v>1.0</v>
      </c>
      <c r="I48" s="1">
        <f>max(L48-13,0)</f>
        <v>0.8</v>
      </c>
      <c r="J48" s="1">
        <v>9.0</v>
      </c>
      <c r="L48" s="3">
        <f t="shared" ref="L48:L52" si="18">C48+J48-E48-F48-G48-I48</f>
        <v>13</v>
      </c>
      <c r="M48" s="3">
        <f t="shared" ref="M48:M52" si="19">min(L48-$B$22,0)</f>
        <v>0</v>
      </c>
      <c r="N48" s="3">
        <f t="shared" ref="N48:N52" si="20">if(AND(L48&gt;=$B$22,L48&lt;=$D$22),L48-$B$22,0)</f>
        <v>0</v>
      </c>
      <c r="O48" s="3">
        <f t="shared" ref="O48:O52" si="21">min(L48,$D$22)</f>
        <v>6</v>
      </c>
    </row>
    <row r="49">
      <c r="B49" s="1" t="s">
        <v>7</v>
      </c>
      <c r="C49" s="3">
        <f t="shared" ref="C49:C52" si="22">L48</f>
        <v>13</v>
      </c>
      <c r="D49" s="1" t="s">
        <v>15</v>
      </c>
      <c r="E49" s="1">
        <v>0.2</v>
      </c>
      <c r="F49" s="1">
        <v>0.3</v>
      </c>
      <c r="G49" s="1">
        <v>6.0</v>
      </c>
      <c r="I49" s="1">
        <v>0.0</v>
      </c>
      <c r="J49" s="1">
        <v>7.0</v>
      </c>
      <c r="L49" s="3">
        <f t="shared" si="18"/>
        <v>13.5</v>
      </c>
      <c r="M49" s="3">
        <f t="shared" si="19"/>
        <v>0</v>
      </c>
      <c r="N49" s="3">
        <f t="shared" si="20"/>
        <v>0</v>
      </c>
      <c r="O49" s="3">
        <f t="shared" si="21"/>
        <v>6</v>
      </c>
    </row>
    <row r="50">
      <c r="B50" s="1" t="s">
        <v>8</v>
      </c>
      <c r="C50" s="3">
        <f t="shared" si="22"/>
        <v>13.5</v>
      </c>
      <c r="D50" s="1" t="s">
        <v>15</v>
      </c>
      <c r="E50" s="1">
        <v>0.2</v>
      </c>
      <c r="F50" s="1">
        <v>0.4</v>
      </c>
      <c r="G50" s="1">
        <v>6.0</v>
      </c>
      <c r="I50" s="1">
        <f>C50-13</f>
        <v>0.5</v>
      </c>
      <c r="J50" s="1">
        <v>5.0</v>
      </c>
      <c r="L50" s="3">
        <f t="shared" si="18"/>
        <v>11.4</v>
      </c>
      <c r="M50" s="3">
        <f t="shared" si="19"/>
        <v>0</v>
      </c>
      <c r="N50" s="3">
        <f t="shared" si="20"/>
        <v>0</v>
      </c>
      <c r="O50" s="3">
        <f t="shared" si="21"/>
        <v>6</v>
      </c>
    </row>
    <row r="51">
      <c r="B51" s="1" t="s">
        <v>9</v>
      </c>
      <c r="C51" s="3">
        <f t="shared" si="22"/>
        <v>11.4</v>
      </c>
      <c r="D51" s="1" t="s">
        <v>14</v>
      </c>
      <c r="E51" s="1">
        <v>0.2</v>
      </c>
      <c r="F51" s="1">
        <v>0.4</v>
      </c>
      <c r="G51" s="1">
        <v>4.0</v>
      </c>
      <c r="I51" s="1">
        <v>0.0</v>
      </c>
      <c r="J51" s="1">
        <v>3.0</v>
      </c>
      <c r="L51" s="3">
        <f t="shared" si="18"/>
        <v>9.8</v>
      </c>
      <c r="M51" s="3">
        <f t="shared" si="19"/>
        <v>0</v>
      </c>
      <c r="N51" s="3">
        <f t="shared" si="20"/>
        <v>0</v>
      </c>
      <c r="O51" s="3">
        <f t="shared" si="21"/>
        <v>6</v>
      </c>
    </row>
    <row r="52">
      <c r="B52" s="1" t="s">
        <v>10</v>
      </c>
      <c r="C52" s="3">
        <f t="shared" si="22"/>
        <v>9.8</v>
      </c>
      <c r="D52" s="1" t="s">
        <v>14</v>
      </c>
      <c r="E52" s="1">
        <v>0.1</v>
      </c>
      <c r="F52" s="1">
        <v>0.3</v>
      </c>
      <c r="G52" s="1">
        <v>1.0</v>
      </c>
      <c r="I52" s="1">
        <v>0.0</v>
      </c>
      <c r="J52" s="1">
        <v>0.5</v>
      </c>
      <c r="L52" s="3">
        <f t="shared" si="18"/>
        <v>8.9</v>
      </c>
      <c r="M52" s="3">
        <f t="shared" si="19"/>
        <v>0</v>
      </c>
      <c r="N52" s="3">
        <f t="shared" si="20"/>
        <v>0</v>
      </c>
      <c r="O52" s="3">
        <f t="shared" si="21"/>
        <v>6</v>
      </c>
    </row>
    <row r="53">
      <c r="B53" s="1" t="s">
        <v>46</v>
      </c>
      <c r="C53" s="3">
        <f>max(C48-13,0)+max(C49-13,0)+max(C50-13,0)+max(C51-13,0)+max(C52-13,0)</f>
        <v>0.5</v>
      </c>
      <c r="M53" s="3">
        <f>SUM(M49:M52)</f>
        <v>0</v>
      </c>
      <c r="N53" s="3">
        <f>sum(N49:N52)</f>
        <v>0</v>
      </c>
    </row>
    <row r="54">
      <c r="B54" s="1" t="s">
        <v>47</v>
      </c>
      <c r="C54" s="1">
        <f>if(C53&gt;0,0,50)</f>
        <v>0</v>
      </c>
      <c r="M54" s="1">
        <f>M53/20*50</f>
        <v>0</v>
      </c>
      <c r="N54" s="1">
        <f>if(N53&gt;0,N53/(1*4)*50,0)</f>
        <v>0</v>
      </c>
      <c r="O54" s="5">
        <f>sum(O49:O52)/24*50</f>
        <v>50</v>
      </c>
    </row>
    <row r="55">
      <c r="B55" s="1" t="s">
        <v>48</v>
      </c>
      <c r="C55" s="5">
        <f>C54+M54+O54</f>
        <v>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2017.0</v>
      </c>
      <c r="B1" s="1" t="s">
        <v>4</v>
      </c>
      <c r="C1" s="1" t="s">
        <v>17</v>
      </c>
    </row>
    <row r="2">
      <c r="A2" s="1" t="s">
        <v>5</v>
      </c>
      <c r="B2" s="1">
        <v>3.33</v>
      </c>
      <c r="C2" s="1">
        <v>3.1</v>
      </c>
    </row>
    <row r="3">
      <c r="A3" s="1" t="s">
        <v>6</v>
      </c>
      <c r="B3" s="1">
        <v>4.7</v>
      </c>
      <c r="C3" s="1">
        <v>4.5</v>
      </c>
    </row>
    <row r="4">
      <c r="A4" s="1" t="s">
        <v>7</v>
      </c>
      <c r="B4" s="1">
        <v>3.9</v>
      </c>
      <c r="C4" s="1">
        <v>2.8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</row>
    <row r="5">
      <c r="A5" s="1" t="s">
        <v>8</v>
      </c>
      <c r="B5" s="1">
        <v>2.0</v>
      </c>
      <c r="C5" s="1">
        <v>1.5</v>
      </c>
      <c r="E5" s="1">
        <v>239.0</v>
      </c>
      <c r="F5" s="1">
        <v>230.0</v>
      </c>
      <c r="G5" s="1">
        <v>4000.0</v>
      </c>
      <c r="H5" s="3">
        <f t="shared" ref="H5:H10" si="1">F5+G5</f>
        <v>4230</v>
      </c>
      <c r="I5" s="1">
        <v>1270.0</v>
      </c>
      <c r="J5" s="1">
        <v>4030.0</v>
      </c>
      <c r="L5" s="1">
        <v>19600.0</v>
      </c>
      <c r="M5" s="1">
        <v>7500.0</v>
      </c>
    </row>
    <row r="6">
      <c r="A6" s="1" t="s">
        <v>9</v>
      </c>
      <c r="B6" s="1">
        <v>2.9</v>
      </c>
      <c r="C6" s="1">
        <v>14.0</v>
      </c>
      <c r="E6" s="1">
        <v>240.0</v>
      </c>
      <c r="F6" s="1">
        <v>250.0</v>
      </c>
      <c r="G6" s="1">
        <v>4000.0</v>
      </c>
      <c r="H6" s="3">
        <f t="shared" si="1"/>
        <v>4250</v>
      </c>
      <c r="I6" s="1">
        <v>2000.0</v>
      </c>
      <c r="J6" s="1">
        <v>4950.0</v>
      </c>
      <c r="K6" s="1" t="s">
        <v>27</v>
      </c>
      <c r="L6" s="1">
        <v>36600.0</v>
      </c>
      <c r="M6" s="1">
        <v>9100.0</v>
      </c>
    </row>
    <row r="7">
      <c r="A7" s="1" t="s">
        <v>10</v>
      </c>
      <c r="B7" s="1">
        <v>3.4</v>
      </c>
      <c r="C7" s="1">
        <v>5.5</v>
      </c>
      <c r="E7" s="1">
        <v>238.0</v>
      </c>
      <c r="F7" s="1">
        <v>300.0</v>
      </c>
      <c r="G7" s="1">
        <v>12000.0</v>
      </c>
      <c r="H7" s="3">
        <f t="shared" si="1"/>
        <v>12300</v>
      </c>
      <c r="I7" s="1">
        <v>8200.0</v>
      </c>
      <c r="J7" s="1">
        <v>8100.0</v>
      </c>
      <c r="K7" s="1" t="s">
        <v>28</v>
      </c>
      <c r="L7" s="1">
        <v>20500.0</v>
      </c>
      <c r="M7" s="1">
        <v>12000.0</v>
      </c>
    </row>
    <row r="8">
      <c r="E8" s="1">
        <v>234.0</v>
      </c>
      <c r="F8" s="1">
        <v>350.0</v>
      </c>
      <c r="G8" s="1">
        <v>13000.0</v>
      </c>
      <c r="H8" s="3">
        <f t="shared" si="1"/>
        <v>13350</v>
      </c>
      <c r="I8" s="1">
        <v>0.0</v>
      </c>
      <c r="J8" s="1">
        <v>9550.0</v>
      </c>
      <c r="K8" s="1" t="s">
        <v>27</v>
      </c>
      <c r="L8" s="1">
        <v>11700.0</v>
      </c>
      <c r="M8" s="1">
        <v>3115.0</v>
      </c>
    </row>
    <row r="9">
      <c r="E9" s="1">
        <v>233.0</v>
      </c>
      <c r="F9" s="1">
        <v>350.0</v>
      </c>
      <c r="G9" s="1">
        <v>12000.0</v>
      </c>
      <c r="H9" s="3">
        <f t="shared" si="1"/>
        <v>12350</v>
      </c>
      <c r="I9" s="1">
        <v>0.0</v>
      </c>
      <c r="J9" s="1">
        <v>8850.0</v>
      </c>
      <c r="K9" s="1" t="s">
        <v>28</v>
      </c>
      <c r="L9" s="1">
        <v>10700.0</v>
      </c>
      <c r="M9" s="1">
        <v>5750.0</v>
      </c>
    </row>
    <row r="10">
      <c r="E10" s="1">
        <v>232.0</v>
      </c>
      <c r="F10" s="1">
        <v>280.0</v>
      </c>
      <c r="G10" s="1">
        <v>10000.0</v>
      </c>
      <c r="H10" s="3">
        <f t="shared" si="1"/>
        <v>10280</v>
      </c>
      <c r="I10" s="1">
        <v>0.0</v>
      </c>
      <c r="J10" s="1">
        <v>7280.0</v>
      </c>
      <c r="K10" s="1" t="s">
        <v>27</v>
      </c>
      <c r="L10" s="1">
        <v>15500.0</v>
      </c>
      <c r="M10" s="1">
        <v>4250.0</v>
      </c>
    </row>
    <row r="13">
      <c r="B13" s="1" t="s">
        <v>4</v>
      </c>
      <c r="C13" s="1" t="s">
        <v>17</v>
      </c>
      <c r="E13" s="1" t="s">
        <v>18</v>
      </c>
      <c r="F13" s="1"/>
      <c r="G13" s="1"/>
      <c r="H13" s="1" t="s">
        <v>29</v>
      </c>
      <c r="J13" s="1" t="s">
        <v>23</v>
      </c>
      <c r="K13" s="1" t="s">
        <v>24</v>
      </c>
      <c r="L13" s="1" t="s">
        <v>25</v>
      </c>
      <c r="M13" s="1" t="s">
        <v>26</v>
      </c>
    </row>
    <row r="14">
      <c r="A14" s="1" t="s">
        <v>5</v>
      </c>
      <c r="B14" s="4">
        <v>3.33</v>
      </c>
      <c r="C14" s="4">
        <v>3.46</v>
      </c>
      <c r="E14" s="1">
        <f>0.5</f>
        <v>0.5</v>
      </c>
      <c r="F14" s="1"/>
      <c r="G14" s="1"/>
      <c r="H14" s="4">
        <f t="shared" ref="H14:H19" si="2">(H5)/11400</f>
        <v>0.3710526316</v>
      </c>
      <c r="J14" s="5">
        <f t="shared" ref="J14:J19" si="3">J5/11400</f>
        <v>0.3535087719</v>
      </c>
      <c r="L14" s="5">
        <f t="shared" ref="L14:L19" si="4">L5/11400</f>
        <v>1.719298246</v>
      </c>
      <c r="M14" s="1">
        <v>0.65</v>
      </c>
    </row>
    <row r="15">
      <c r="A15" s="1" t="s">
        <v>6</v>
      </c>
      <c r="B15" s="4">
        <v>4.7</v>
      </c>
      <c r="C15" s="4">
        <v>6.01</v>
      </c>
      <c r="E15" s="1">
        <f>1</f>
        <v>1</v>
      </c>
      <c r="F15" s="1"/>
      <c r="G15" s="1"/>
      <c r="H15" s="4">
        <f t="shared" si="2"/>
        <v>0.3728070175</v>
      </c>
      <c r="J15" s="5">
        <f t="shared" si="3"/>
        <v>0.4342105263</v>
      </c>
      <c r="K15" s="1" t="s">
        <v>27</v>
      </c>
      <c r="L15" s="5">
        <f t="shared" si="4"/>
        <v>3.210526316</v>
      </c>
      <c r="M15" s="6">
        <f t="shared" ref="M15:M19" si="5">M6/11400</f>
        <v>0.798245614</v>
      </c>
    </row>
    <row r="16">
      <c r="A16" s="1" t="s">
        <v>7</v>
      </c>
      <c r="B16" s="4">
        <v>3.9</v>
      </c>
      <c r="C16" s="4">
        <v>2.02</v>
      </c>
      <c r="E16" s="1">
        <v>0.0</v>
      </c>
      <c r="F16" s="1"/>
      <c r="G16" s="1"/>
      <c r="H16" s="4">
        <f t="shared" si="2"/>
        <v>1.078947368</v>
      </c>
      <c r="J16" s="5">
        <f t="shared" si="3"/>
        <v>0.7105263158</v>
      </c>
      <c r="K16" s="1" t="s">
        <v>28</v>
      </c>
      <c r="L16" s="5">
        <f t="shared" si="4"/>
        <v>1.798245614</v>
      </c>
      <c r="M16" s="6">
        <f t="shared" si="5"/>
        <v>1.052631579</v>
      </c>
    </row>
    <row r="17">
      <c r="A17" s="1" t="s">
        <v>8</v>
      </c>
      <c r="B17" s="4">
        <v>2.0</v>
      </c>
      <c r="C17" s="4">
        <v>1.94</v>
      </c>
      <c r="E17" s="1">
        <v>-2.0</v>
      </c>
      <c r="F17" s="1"/>
      <c r="G17" s="1"/>
      <c r="H17" s="4">
        <f t="shared" si="2"/>
        <v>1.171052632</v>
      </c>
      <c r="J17" s="5">
        <f t="shared" si="3"/>
        <v>0.8377192982</v>
      </c>
      <c r="K17" s="1" t="s">
        <v>27</v>
      </c>
      <c r="L17" s="5">
        <f t="shared" si="4"/>
        <v>1.026315789</v>
      </c>
      <c r="M17" s="6">
        <f t="shared" si="5"/>
        <v>0.273245614</v>
      </c>
    </row>
    <row r="18">
      <c r="A18" s="1" t="s">
        <v>9</v>
      </c>
      <c r="B18" s="4">
        <v>2.9</v>
      </c>
      <c r="C18" s="4">
        <v>3.14</v>
      </c>
      <c r="E18" s="1">
        <v>-2.5</v>
      </c>
      <c r="F18" s="1"/>
      <c r="G18" s="1"/>
      <c r="H18" s="4">
        <f t="shared" si="2"/>
        <v>1.083333333</v>
      </c>
      <c r="J18" s="5">
        <f t="shared" si="3"/>
        <v>0.7763157895</v>
      </c>
      <c r="K18" s="1" t="s">
        <v>28</v>
      </c>
      <c r="L18" s="5">
        <f t="shared" si="4"/>
        <v>0.9385964912</v>
      </c>
      <c r="M18" s="6">
        <f t="shared" si="5"/>
        <v>0.5043859649</v>
      </c>
    </row>
    <row r="19">
      <c r="A19" s="1" t="s">
        <v>10</v>
      </c>
      <c r="B19" s="4">
        <v>3.4</v>
      </c>
      <c r="C19" s="4">
        <v>3.4</v>
      </c>
      <c r="E19" s="1">
        <v>-3.0</v>
      </c>
      <c r="F19" s="1"/>
      <c r="G19" s="1"/>
      <c r="H19" s="4">
        <f t="shared" si="2"/>
        <v>0.901754386</v>
      </c>
      <c r="J19" s="5">
        <f t="shared" si="3"/>
        <v>0.6385964912</v>
      </c>
      <c r="K19" s="1" t="s">
        <v>27</v>
      </c>
      <c r="L19" s="5">
        <f t="shared" si="4"/>
        <v>1.359649123</v>
      </c>
      <c r="M19" s="6">
        <f t="shared" si="5"/>
        <v>0.3728070175</v>
      </c>
    </row>
    <row r="21">
      <c r="A21" s="1" t="s">
        <v>0</v>
      </c>
      <c r="B21" s="1" t="s">
        <v>1</v>
      </c>
      <c r="C21" s="1" t="s">
        <v>2</v>
      </c>
      <c r="D21" s="1" t="s">
        <v>3</v>
      </c>
      <c r="E21" s="1" t="s">
        <v>55</v>
      </c>
    </row>
    <row r="22">
      <c r="A22" s="1">
        <f>B22+C22</f>
        <v>13</v>
      </c>
      <c r="B22" s="1">
        <v>5.0</v>
      </c>
      <c r="C22" s="1">
        <v>8.0</v>
      </c>
      <c r="D22" s="1">
        <v>6.0</v>
      </c>
      <c r="E22" s="1">
        <v>6.0</v>
      </c>
    </row>
    <row r="24">
      <c r="B24" s="1" t="s">
        <v>31</v>
      </c>
    </row>
    <row r="25">
      <c r="B25" s="1" t="s">
        <v>32</v>
      </c>
      <c r="C25" s="1" t="s">
        <v>33</v>
      </c>
      <c r="D25" s="1" t="s">
        <v>53</v>
      </c>
      <c r="E25" s="1" t="s">
        <v>35</v>
      </c>
      <c r="F25" s="1" t="s">
        <v>20</v>
      </c>
      <c r="G25" s="1" t="s">
        <v>36</v>
      </c>
      <c r="H25" s="1" t="s">
        <v>37</v>
      </c>
      <c r="I25" s="1" t="s">
        <v>38</v>
      </c>
      <c r="J25" s="1" t="s">
        <v>39</v>
      </c>
      <c r="K25" s="1" t="s">
        <v>40</v>
      </c>
      <c r="L25" s="1" t="s">
        <v>41</v>
      </c>
      <c r="M25" s="1" t="s">
        <v>43</v>
      </c>
      <c r="N25" s="1" t="s">
        <v>44</v>
      </c>
      <c r="O25" s="1" t="s">
        <v>45</v>
      </c>
    </row>
    <row r="26">
      <c r="B26" s="1" t="s">
        <v>6</v>
      </c>
      <c r="C26" s="1">
        <v>6.0</v>
      </c>
      <c r="E26" s="1">
        <v>0.1</v>
      </c>
      <c r="F26" s="1">
        <v>0.1</v>
      </c>
      <c r="G26" s="1">
        <v>0.8</v>
      </c>
      <c r="I26" s="1">
        <f t="shared" ref="I26:I30" si="6">max(L26-13,0)</f>
        <v>0</v>
      </c>
      <c r="J26" s="1">
        <v>1.0</v>
      </c>
      <c r="L26" s="3">
        <f t="shared" ref="L26:L30" si="7">C26+J26-E26-F26-G26-I26</f>
        <v>6</v>
      </c>
      <c r="M26" s="3">
        <f t="shared" ref="M26:M30" si="8">min(L26-$B$22,0)</f>
        <v>0</v>
      </c>
      <c r="N26" s="3">
        <f t="shared" ref="N26:N30" si="9">if(AND(L26&gt;=$B$22,L26&lt;=$D$22),L26-$B$22,0)</f>
        <v>1</v>
      </c>
      <c r="O26" s="3">
        <f t="shared" ref="O26:O30" si="10">min(L26,$D$22)</f>
        <v>6</v>
      </c>
    </row>
    <row r="27">
      <c r="B27" s="1" t="s">
        <v>7</v>
      </c>
      <c r="C27" s="3">
        <f t="shared" ref="C27:C30" si="11">L26</f>
        <v>6</v>
      </c>
      <c r="E27" s="1">
        <v>0.2</v>
      </c>
      <c r="F27" s="1">
        <v>0.3</v>
      </c>
      <c r="G27" s="1">
        <v>0.0</v>
      </c>
      <c r="I27" s="1">
        <f t="shared" si="6"/>
        <v>0</v>
      </c>
      <c r="J27" s="1">
        <v>0.5</v>
      </c>
      <c r="L27" s="3">
        <f t="shared" si="7"/>
        <v>6</v>
      </c>
      <c r="M27" s="3">
        <f t="shared" si="8"/>
        <v>0</v>
      </c>
      <c r="N27" s="3">
        <f t="shared" si="9"/>
        <v>1</v>
      </c>
      <c r="O27" s="3">
        <f t="shared" si="10"/>
        <v>6</v>
      </c>
    </row>
    <row r="28">
      <c r="B28" s="1" t="s">
        <v>8</v>
      </c>
      <c r="C28" s="3">
        <f t="shared" si="11"/>
        <v>6</v>
      </c>
      <c r="E28" s="1">
        <v>0.2</v>
      </c>
      <c r="F28" s="1">
        <v>0.4</v>
      </c>
      <c r="G28" s="1">
        <v>0.0</v>
      </c>
      <c r="I28" s="1">
        <f t="shared" si="6"/>
        <v>0</v>
      </c>
      <c r="J28" s="1">
        <v>0.0</v>
      </c>
      <c r="L28" s="3">
        <f t="shared" si="7"/>
        <v>5.4</v>
      </c>
      <c r="M28" s="3">
        <f t="shared" si="8"/>
        <v>0</v>
      </c>
      <c r="N28" s="3">
        <f t="shared" si="9"/>
        <v>0.4</v>
      </c>
      <c r="O28" s="3">
        <f t="shared" si="10"/>
        <v>5.4</v>
      </c>
    </row>
    <row r="29">
      <c r="B29" s="1" t="s">
        <v>9</v>
      </c>
      <c r="C29" s="3">
        <f t="shared" si="11"/>
        <v>5.4</v>
      </c>
      <c r="E29" s="1">
        <v>0.2</v>
      </c>
      <c r="F29" s="1">
        <v>0.4</v>
      </c>
      <c r="G29" s="1">
        <v>0.0</v>
      </c>
      <c r="I29" s="1">
        <f t="shared" si="6"/>
        <v>0</v>
      </c>
      <c r="J29" s="1">
        <v>7.0</v>
      </c>
      <c r="L29" s="3">
        <f t="shared" si="7"/>
        <v>11.8</v>
      </c>
      <c r="M29" s="3">
        <f t="shared" si="8"/>
        <v>0</v>
      </c>
      <c r="N29" s="3">
        <f t="shared" si="9"/>
        <v>0</v>
      </c>
      <c r="O29" s="3">
        <f t="shared" si="10"/>
        <v>6</v>
      </c>
    </row>
    <row r="30">
      <c r="B30" s="1" t="s">
        <v>10</v>
      </c>
      <c r="C30" s="3">
        <f t="shared" si="11"/>
        <v>11.8</v>
      </c>
      <c r="E30" s="1">
        <v>0.1</v>
      </c>
      <c r="F30" s="1">
        <v>0.3</v>
      </c>
      <c r="G30" s="1">
        <v>1.0</v>
      </c>
      <c r="I30" s="1">
        <f t="shared" si="6"/>
        <v>3.4</v>
      </c>
      <c r="J30" s="1">
        <v>6.0</v>
      </c>
      <c r="L30" s="3">
        <f t="shared" si="7"/>
        <v>13</v>
      </c>
      <c r="M30" s="3">
        <f t="shared" si="8"/>
        <v>0</v>
      </c>
      <c r="N30" s="3">
        <f t="shared" si="9"/>
        <v>0</v>
      </c>
      <c r="O30" s="3">
        <f t="shared" si="10"/>
        <v>6</v>
      </c>
    </row>
    <row r="31">
      <c r="H31" s="1" t="s">
        <v>46</v>
      </c>
      <c r="I31" s="3">
        <f>SUM(I27:I30)</f>
        <v>3.4</v>
      </c>
      <c r="M31" s="3">
        <f t="shared" ref="M31:N31" si="12">sum(M27:M30)</f>
        <v>0</v>
      </c>
      <c r="N31" s="3">
        <f t="shared" si="12"/>
        <v>1.4</v>
      </c>
    </row>
    <row r="32">
      <c r="H32" s="1" t="s">
        <v>47</v>
      </c>
      <c r="I32" s="1">
        <f>if(I31&gt;0,0,50)</f>
        <v>0</v>
      </c>
      <c r="M32" s="1">
        <f>M31/20*50</f>
        <v>0</v>
      </c>
      <c r="N32" s="1">
        <f>if(N31&gt;0,N31/(1*4)*50,0)</f>
        <v>17.5</v>
      </c>
      <c r="O32" s="5">
        <f>sum(O27:O30)/24*50</f>
        <v>48.75</v>
      </c>
    </row>
    <row r="33">
      <c r="H33" s="1" t="s">
        <v>48</v>
      </c>
      <c r="I33" s="5">
        <f>I32+O32+M32</f>
        <v>48.75</v>
      </c>
    </row>
    <row r="36">
      <c r="B36" s="1" t="s">
        <v>52</v>
      </c>
    </row>
    <row r="37">
      <c r="B37" s="1" t="s">
        <v>32</v>
      </c>
      <c r="C37" s="1" t="s">
        <v>33</v>
      </c>
      <c r="D37" s="1" t="s">
        <v>56</v>
      </c>
      <c r="E37" s="1" t="s">
        <v>35</v>
      </c>
      <c r="F37" s="1" t="s">
        <v>20</v>
      </c>
      <c r="G37" s="1" t="s">
        <v>36</v>
      </c>
      <c r="H37" s="1" t="s">
        <v>37</v>
      </c>
      <c r="I37" s="1" t="s">
        <v>38</v>
      </c>
      <c r="J37" s="1" t="s">
        <v>39</v>
      </c>
      <c r="K37" s="1" t="s">
        <v>40</v>
      </c>
      <c r="L37" s="1" t="s">
        <v>41</v>
      </c>
      <c r="M37" s="1" t="s">
        <v>43</v>
      </c>
      <c r="N37" s="1" t="s">
        <v>44</v>
      </c>
      <c r="O37" s="1" t="s">
        <v>45</v>
      </c>
    </row>
    <row r="38">
      <c r="B38" s="1" t="s">
        <v>6</v>
      </c>
      <c r="C38" s="1">
        <v>6.0</v>
      </c>
      <c r="E38" s="1">
        <v>0.1</v>
      </c>
      <c r="F38" s="1">
        <v>0.1</v>
      </c>
      <c r="G38" s="1">
        <v>0.0</v>
      </c>
      <c r="I38" s="1">
        <f t="shared" ref="I38:I42" si="13">max(L38-13,0)</f>
        <v>0</v>
      </c>
      <c r="J38" s="1">
        <v>1.0</v>
      </c>
      <c r="L38" s="3">
        <f t="shared" ref="L38:L42" si="14">C38+J38-E38-F38-G38-I38</f>
        <v>6.8</v>
      </c>
      <c r="M38" s="3">
        <f t="shared" ref="M38:M42" si="15">min(L38-$B$22,0)</f>
        <v>0</v>
      </c>
      <c r="N38" s="3">
        <f t="shared" ref="N38:N42" si="16">if(AND(L38&gt;=$B$22,L38&lt;=$D$22),L38-$B$22,0)</f>
        <v>0</v>
      </c>
      <c r="O38" s="3">
        <f t="shared" ref="O38:O42" si="17">min(L38,$D$22)</f>
        <v>6</v>
      </c>
    </row>
    <row r="39">
      <c r="B39" s="1" t="s">
        <v>7</v>
      </c>
      <c r="C39" s="3">
        <f t="shared" ref="C39:C42" si="18">L38</f>
        <v>6.8</v>
      </c>
      <c r="E39" s="1">
        <v>0.2</v>
      </c>
      <c r="F39" s="1">
        <v>0.3</v>
      </c>
      <c r="G39" s="1">
        <v>0.3</v>
      </c>
      <c r="I39" s="1">
        <f t="shared" si="13"/>
        <v>0</v>
      </c>
      <c r="J39" s="1">
        <v>0.5</v>
      </c>
      <c r="L39" s="3">
        <f t="shared" si="14"/>
        <v>6.5</v>
      </c>
      <c r="M39" s="3">
        <f t="shared" si="15"/>
        <v>0</v>
      </c>
      <c r="N39" s="3">
        <f t="shared" si="16"/>
        <v>0</v>
      </c>
      <c r="O39" s="3">
        <f t="shared" si="17"/>
        <v>6</v>
      </c>
    </row>
    <row r="40">
      <c r="B40" s="1" t="s">
        <v>8</v>
      </c>
      <c r="C40" s="3">
        <f t="shared" si="18"/>
        <v>6.5</v>
      </c>
      <c r="E40" s="1">
        <v>0.2</v>
      </c>
      <c r="F40" s="1">
        <v>0.4</v>
      </c>
      <c r="G40" s="1">
        <v>0.1</v>
      </c>
      <c r="I40" s="1">
        <f t="shared" si="13"/>
        <v>0</v>
      </c>
      <c r="J40" s="1">
        <v>0.0</v>
      </c>
      <c r="L40" s="3">
        <f t="shared" si="14"/>
        <v>5.8</v>
      </c>
      <c r="M40" s="3">
        <f t="shared" si="15"/>
        <v>0</v>
      </c>
      <c r="N40" s="3">
        <f t="shared" si="16"/>
        <v>0.8</v>
      </c>
      <c r="O40" s="3">
        <f t="shared" si="17"/>
        <v>5.8</v>
      </c>
    </row>
    <row r="41">
      <c r="B41" s="1" t="s">
        <v>9</v>
      </c>
      <c r="C41" s="3">
        <f t="shared" si="18"/>
        <v>5.8</v>
      </c>
      <c r="E41" s="1">
        <v>0.2</v>
      </c>
      <c r="F41" s="1">
        <v>0.4</v>
      </c>
      <c r="G41" s="1">
        <v>0.0</v>
      </c>
      <c r="I41" s="1">
        <f t="shared" si="13"/>
        <v>0</v>
      </c>
      <c r="J41" s="1">
        <v>7.0</v>
      </c>
      <c r="L41" s="3">
        <f t="shared" si="14"/>
        <v>12.2</v>
      </c>
      <c r="M41" s="3">
        <f t="shared" si="15"/>
        <v>0</v>
      </c>
      <c r="N41" s="3">
        <f t="shared" si="16"/>
        <v>0</v>
      </c>
      <c r="O41" s="3">
        <f t="shared" si="17"/>
        <v>6</v>
      </c>
    </row>
    <row r="42">
      <c r="B42" s="1" t="s">
        <v>10</v>
      </c>
      <c r="C42" s="3">
        <f t="shared" si="18"/>
        <v>12.2</v>
      </c>
      <c r="E42" s="1">
        <v>0.1</v>
      </c>
      <c r="F42" s="1">
        <v>0.3</v>
      </c>
      <c r="G42" s="1">
        <v>5.0</v>
      </c>
      <c r="I42" s="1">
        <f t="shared" si="13"/>
        <v>0</v>
      </c>
      <c r="J42" s="1">
        <v>6.0</v>
      </c>
      <c r="L42" s="3">
        <f t="shared" si="14"/>
        <v>12.8</v>
      </c>
      <c r="M42" s="3">
        <f t="shared" si="15"/>
        <v>0</v>
      </c>
      <c r="N42" s="3">
        <f t="shared" si="16"/>
        <v>0</v>
      </c>
      <c r="O42" s="3">
        <f t="shared" si="17"/>
        <v>6</v>
      </c>
    </row>
    <row r="43">
      <c r="H43" s="1" t="s">
        <v>46</v>
      </c>
      <c r="I43" s="3">
        <f>SUM(I39:I42)</f>
        <v>0</v>
      </c>
      <c r="M43" s="3">
        <f t="shared" ref="M43:N43" si="19">sum(M39:M42)</f>
        <v>0</v>
      </c>
      <c r="N43" s="3">
        <f t="shared" si="19"/>
        <v>0.8</v>
      </c>
    </row>
    <row r="44">
      <c r="H44" s="1" t="s">
        <v>47</v>
      </c>
      <c r="I44" s="1">
        <f>if(I43&gt;0,0,50)</f>
        <v>50</v>
      </c>
      <c r="M44" s="1">
        <f>M43/20*50</f>
        <v>0</v>
      </c>
      <c r="N44" s="1">
        <f>if(N43&gt;0,N43/(1*4)*50,0)</f>
        <v>10</v>
      </c>
      <c r="O44" s="5">
        <f>sum(O39:O42)/24*50</f>
        <v>49.58333333</v>
      </c>
    </row>
    <row r="45">
      <c r="H45" s="1" t="s">
        <v>48</v>
      </c>
      <c r="I45" s="5">
        <f>I44+O44+M44</f>
        <v>99.58333333</v>
      </c>
    </row>
    <row r="48">
      <c r="B48" s="1" t="s">
        <v>57</v>
      </c>
    </row>
    <row r="49">
      <c r="B49" s="1" t="s">
        <v>32</v>
      </c>
      <c r="C49" s="1" t="s">
        <v>33</v>
      </c>
      <c r="D49" s="1" t="s">
        <v>56</v>
      </c>
      <c r="E49" s="1" t="s">
        <v>35</v>
      </c>
      <c r="F49" s="1" t="s">
        <v>20</v>
      </c>
      <c r="G49" s="1" t="s">
        <v>36</v>
      </c>
      <c r="H49" s="1" t="s">
        <v>37</v>
      </c>
      <c r="I49" s="1" t="s">
        <v>38</v>
      </c>
      <c r="J49" s="1" t="s">
        <v>39</v>
      </c>
      <c r="K49" s="1" t="s">
        <v>40</v>
      </c>
      <c r="L49" s="1" t="s">
        <v>41</v>
      </c>
      <c r="M49" s="1" t="s">
        <v>43</v>
      </c>
      <c r="N49" s="1" t="s">
        <v>44</v>
      </c>
      <c r="O49" s="1" t="s">
        <v>45</v>
      </c>
    </row>
    <row r="50">
      <c r="B50" s="1" t="s">
        <v>6</v>
      </c>
      <c r="C50" s="1">
        <v>6.0</v>
      </c>
      <c r="D50" s="1" t="s">
        <v>13</v>
      </c>
      <c r="E50" s="1">
        <v>0.1</v>
      </c>
      <c r="F50" s="1">
        <v>0.1</v>
      </c>
      <c r="G50" s="1">
        <v>0.0</v>
      </c>
      <c r="I50" s="1">
        <f t="shared" ref="I50:I54" si="20">max(L50-13,0)</f>
        <v>0</v>
      </c>
      <c r="J50" s="1">
        <v>1.0</v>
      </c>
      <c r="L50" s="3">
        <f t="shared" ref="L50:L54" si="21">C50+J50-E50-F50-G50-I50</f>
        <v>6.8</v>
      </c>
      <c r="M50" s="3">
        <f t="shared" ref="M50:M54" si="22">min(L50-$B$22,0)</f>
        <v>0</v>
      </c>
      <c r="N50" s="3">
        <f t="shared" ref="N50:N54" si="23">if(AND(L50&gt;=$B$22,L50&lt;=$D$22),L50-$B$22,0)</f>
        <v>0</v>
      </c>
      <c r="O50" s="3">
        <f t="shared" ref="O50:O54" si="24">min(L50,$D$22)</f>
        <v>6</v>
      </c>
    </row>
    <row r="51">
      <c r="B51" s="1" t="s">
        <v>7</v>
      </c>
      <c r="C51" s="3">
        <f t="shared" ref="C51:C54" si="25">L50</f>
        <v>6.8</v>
      </c>
      <c r="D51" s="1" t="s">
        <v>12</v>
      </c>
      <c r="E51" s="1">
        <v>0.2</v>
      </c>
      <c r="F51" s="1">
        <v>0.3</v>
      </c>
      <c r="G51" s="1">
        <v>1.0</v>
      </c>
      <c r="I51" s="1">
        <f t="shared" si="20"/>
        <v>0</v>
      </c>
      <c r="J51" s="1">
        <v>0.5</v>
      </c>
      <c r="L51" s="3">
        <f t="shared" si="21"/>
        <v>5.8</v>
      </c>
      <c r="M51" s="3">
        <f t="shared" si="22"/>
        <v>0</v>
      </c>
      <c r="N51" s="3">
        <f t="shared" si="23"/>
        <v>0.8</v>
      </c>
      <c r="O51" s="3">
        <f t="shared" si="24"/>
        <v>5.8</v>
      </c>
    </row>
    <row r="52">
      <c r="B52" s="1" t="s">
        <v>8</v>
      </c>
      <c r="C52" s="3">
        <f t="shared" si="25"/>
        <v>5.8</v>
      </c>
      <c r="D52" s="1" t="s">
        <v>12</v>
      </c>
      <c r="E52" s="1">
        <v>0.2</v>
      </c>
      <c r="F52" s="1">
        <v>0.4</v>
      </c>
      <c r="G52" s="1">
        <v>0.0</v>
      </c>
      <c r="I52" s="1">
        <f t="shared" si="20"/>
        <v>0</v>
      </c>
      <c r="J52" s="1">
        <v>0.0</v>
      </c>
      <c r="L52" s="3">
        <f t="shared" si="21"/>
        <v>5.2</v>
      </c>
      <c r="M52" s="3">
        <f t="shared" si="22"/>
        <v>0</v>
      </c>
      <c r="N52" s="3">
        <f t="shared" si="23"/>
        <v>0.2</v>
      </c>
      <c r="O52" s="3">
        <f t="shared" si="24"/>
        <v>5.2</v>
      </c>
    </row>
    <row r="53">
      <c r="B53" s="1" t="s">
        <v>9</v>
      </c>
      <c r="C53" s="3">
        <f t="shared" si="25"/>
        <v>5.2</v>
      </c>
      <c r="D53" s="1" t="s">
        <v>14</v>
      </c>
      <c r="E53" s="1">
        <v>0.2</v>
      </c>
      <c r="F53" s="1">
        <v>0.4</v>
      </c>
      <c r="G53" s="1">
        <v>0.0</v>
      </c>
      <c r="I53" s="1">
        <f t="shared" si="20"/>
        <v>0</v>
      </c>
      <c r="J53" s="1">
        <v>7.0</v>
      </c>
      <c r="L53" s="3">
        <f t="shared" si="21"/>
        <v>11.6</v>
      </c>
      <c r="M53" s="3">
        <f t="shared" si="22"/>
        <v>0</v>
      </c>
      <c r="N53" s="3">
        <f t="shared" si="23"/>
        <v>0</v>
      </c>
      <c r="O53" s="3">
        <f t="shared" si="24"/>
        <v>6</v>
      </c>
    </row>
    <row r="54">
      <c r="B54" s="1" t="s">
        <v>10</v>
      </c>
      <c r="C54" s="3">
        <f t="shared" si="25"/>
        <v>11.6</v>
      </c>
      <c r="D54" s="1" t="s">
        <v>15</v>
      </c>
      <c r="E54" s="1">
        <v>0.1</v>
      </c>
      <c r="F54" s="1">
        <v>0.3</v>
      </c>
      <c r="G54" s="1">
        <v>6.0</v>
      </c>
      <c r="I54" s="1">
        <f t="shared" si="20"/>
        <v>0</v>
      </c>
      <c r="J54" s="1">
        <v>6.0</v>
      </c>
      <c r="L54" s="3">
        <f t="shared" si="21"/>
        <v>11.2</v>
      </c>
      <c r="M54" s="3">
        <f t="shared" si="22"/>
        <v>0</v>
      </c>
      <c r="N54" s="3">
        <f t="shared" si="23"/>
        <v>0</v>
      </c>
      <c r="O54" s="3">
        <f t="shared" si="24"/>
        <v>6</v>
      </c>
    </row>
    <row r="55">
      <c r="H55" s="1" t="s">
        <v>46</v>
      </c>
      <c r="I55" s="3">
        <f>SUM(I51:I54)</f>
        <v>0</v>
      </c>
      <c r="M55" s="3">
        <f t="shared" ref="M55:N55" si="26">sum(M51:M54)</f>
        <v>0</v>
      </c>
      <c r="N55" s="3">
        <f t="shared" si="26"/>
        <v>1</v>
      </c>
    </row>
    <row r="56">
      <c r="H56" s="1" t="s">
        <v>47</v>
      </c>
      <c r="I56" s="1">
        <f>if(I55&gt;0,0,50)</f>
        <v>50</v>
      </c>
      <c r="M56" s="1">
        <f>M55/20*50</f>
        <v>0</v>
      </c>
      <c r="N56" s="1">
        <f>if(N55&gt;0,N55/(1*4)*50,0)</f>
        <v>12.5</v>
      </c>
      <c r="O56" s="5">
        <f>sum(O51:O54)/24*50</f>
        <v>47.91666667</v>
      </c>
    </row>
    <row r="57">
      <c r="H57" s="1" t="s">
        <v>48</v>
      </c>
      <c r="I57" s="5">
        <f>I56+O56+M56</f>
        <v>97.91666667</v>
      </c>
    </row>
  </sheetData>
  <drawing r:id="rId1"/>
</worksheet>
</file>